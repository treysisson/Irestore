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treysisson/iRestore/"/>
    </mc:Choice>
  </mc:AlternateContent>
  <xr:revisionPtr revIDLastSave="0" documentId="13_ncr:20001_{297DEAC2-B9E9-4A49-9D9C-A6470EF853D7}" xr6:coauthVersionLast="47" xr6:coauthVersionMax="47" xr10:uidLastSave="{00000000-0000-0000-0000-000000000000}"/>
  <bookViews>
    <workbookView xWindow="4860" yWindow="1180" windowWidth="54260" windowHeight="25080" activeTab="4" xr2:uid="{00000000-000D-0000-FFFF-FFFF00000000}"/>
  </bookViews>
  <sheets>
    <sheet name="0 - Start Here" sheetId="1" r:id="rId1"/>
    <sheet name="1 - CAC &amp; LTV" sheetId="2" r:id="rId2"/>
    <sheet name="2 - Return Rate Economics" sheetId="3" r:id="rId3"/>
    <sheet name="3 - Working Capital" sheetId="4" r:id="rId4"/>
    <sheet name="4 - Break-Even Analysis"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5" l="1"/>
  <c r="D43" i="5"/>
  <c r="B43" i="5"/>
  <c r="B35" i="5"/>
  <c r="D40" i="5"/>
  <c r="J35" i="5"/>
  <c r="C37" i="5"/>
  <c r="G37" i="5" s="1"/>
  <c r="D37" i="5"/>
  <c r="H37" i="5" s="1"/>
  <c r="B37" i="5"/>
  <c r="C36" i="5"/>
  <c r="G36" i="5" s="1"/>
  <c r="D36" i="5"/>
  <c r="B36" i="5"/>
  <c r="F36" i="5" s="1"/>
  <c r="C35" i="5"/>
  <c r="D35" i="5"/>
  <c r="B30" i="5"/>
  <c r="I32" i="5"/>
  <c r="I33" i="5"/>
  <c r="I34" i="5"/>
  <c r="I38" i="5"/>
  <c r="I39" i="5"/>
  <c r="I31" i="5"/>
  <c r="H31" i="5"/>
  <c r="H32" i="5"/>
  <c r="H33" i="5"/>
  <c r="H34" i="5"/>
  <c r="H35" i="5"/>
  <c r="H36" i="5"/>
  <c r="H38" i="5"/>
  <c r="H39" i="5"/>
  <c r="H30" i="5"/>
  <c r="G31" i="5"/>
  <c r="G32" i="5"/>
  <c r="G33" i="5"/>
  <c r="G34" i="5"/>
  <c r="G35" i="5"/>
  <c r="G38" i="5"/>
  <c r="G39" i="5"/>
  <c r="G30" i="5"/>
  <c r="F31" i="5"/>
  <c r="F32" i="5"/>
  <c r="F33" i="5"/>
  <c r="F34" i="5"/>
  <c r="F35" i="5"/>
  <c r="F37" i="5"/>
  <c r="F38" i="5"/>
  <c r="F39" i="5"/>
  <c r="F30" i="5"/>
  <c r="D41" i="5"/>
  <c r="H41" i="5" s="1"/>
  <c r="C39" i="5"/>
  <c r="D39" i="5"/>
  <c r="B39" i="5"/>
  <c r="C38" i="5"/>
  <c r="D38" i="5"/>
  <c r="B38" i="5"/>
  <c r="C34" i="5"/>
  <c r="D34" i="5"/>
  <c r="B34" i="5"/>
  <c r="C33" i="5"/>
  <c r="D33" i="5"/>
  <c r="B33" i="5"/>
  <c r="C31" i="5"/>
  <c r="D31" i="5"/>
  <c r="C32" i="5"/>
  <c r="D32" i="5"/>
  <c r="B32" i="5"/>
  <c r="B31" i="5"/>
  <c r="C30" i="5"/>
  <c r="D30" i="5"/>
  <c r="C28" i="5"/>
  <c r="D28" i="5"/>
  <c r="C29" i="5"/>
  <c r="D29" i="5"/>
  <c r="B29" i="5"/>
  <c r="B28" i="5"/>
  <c r="C26" i="5"/>
  <c r="D26" i="5"/>
  <c r="C27" i="5"/>
  <c r="D27" i="5"/>
  <c r="B27" i="5"/>
  <c r="B26" i="5"/>
  <c r="D16" i="4"/>
  <c r="D17" i="4"/>
  <c r="C29" i="4"/>
  <c r="D28" i="4"/>
  <c r="C28" i="4"/>
  <c r="D15" i="4"/>
  <c r="D14" i="4"/>
  <c r="D22" i="4"/>
  <c r="D23" i="4"/>
  <c r="D24" i="4"/>
  <c r="D25" i="4"/>
  <c r="D21" i="4"/>
  <c r="B10" i="4"/>
  <c r="B9" i="4"/>
  <c r="C18" i="3"/>
  <c r="C22" i="3"/>
  <c r="F22" i="3" s="1"/>
  <c r="D22" i="3"/>
  <c r="B22" i="3"/>
  <c r="B26" i="3" s="1"/>
  <c r="B33" i="3" s="1"/>
  <c r="E34" i="3"/>
  <c r="D33" i="3"/>
  <c r="D34" i="3" s="1"/>
  <c r="E33" i="3"/>
  <c r="D32" i="3"/>
  <c r="E32" i="3"/>
  <c r="B32" i="3"/>
  <c r="C31" i="3"/>
  <c r="F31" i="3" s="1"/>
  <c r="D31" i="3"/>
  <c r="E31" i="3"/>
  <c r="B31" i="3"/>
  <c r="E27" i="3"/>
  <c r="D26" i="3"/>
  <c r="D27" i="3" s="1"/>
  <c r="E26" i="3"/>
  <c r="D25" i="3"/>
  <c r="E25" i="3"/>
  <c r="B25" i="3"/>
  <c r="C24" i="3"/>
  <c r="D24" i="3"/>
  <c r="E24" i="3"/>
  <c r="B24" i="3"/>
  <c r="C23" i="3"/>
  <c r="F23" i="3" s="1"/>
  <c r="D23" i="3"/>
  <c r="E23" i="3"/>
  <c r="B23" i="3"/>
  <c r="E22" i="3"/>
  <c r="F21" i="3"/>
  <c r="D21" i="3"/>
  <c r="C21" i="3"/>
  <c r="E21" i="3"/>
  <c r="B21" i="3"/>
  <c r="D20" i="3"/>
  <c r="E20" i="3"/>
  <c r="B20" i="3"/>
  <c r="F19" i="3"/>
  <c r="C19" i="3"/>
  <c r="C20" i="3" s="1"/>
  <c r="C32" i="3" s="1"/>
  <c r="F32" i="3" s="1"/>
  <c r="D19" i="3"/>
  <c r="E19" i="3"/>
  <c r="B19" i="3"/>
  <c r="F18" i="3"/>
  <c r="D18" i="3"/>
  <c r="E18" i="3"/>
  <c r="B18" i="3"/>
  <c r="D27" i="2"/>
  <c r="E26" i="2"/>
  <c r="E25" i="2"/>
  <c r="E24" i="2"/>
  <c r="B11" i="2"/>
  <c r="F27" i="2"/>
  <c r="C25" i="2"/>
  <c r="C26" i="2" s="1"/>
  <c r="C27" i="2" s="1"/>
  <c r="D25" i="2"/>
  <c r="D26" i="2"/>
  <c r="B27" i="2"/>
  <c r="B26" i="2"/>
  <c r="B25" i="2"/>
  <c r="C24" i="2"/>
  <c r="D24" i="2"/>
  <c r="B24" i="2"/>
  <c r="F13" i="2"/>
  <c r="F12" i="2"/>
  <c r="F11" i="2"/>
  <c r="C11" i="2"/>
  <c r="D11" i="2"/>
  <c r="C12" i="2"/>
  <c r="C13" i="2" s="1"/>
  <c r="D12" i="2"/>
  <c r="D13" i="2" s="1"/>
  <c r="E12" i="2"/>
  <c r="B12" i="2"/>
  <c r="B13" i="2" s="1"/>
  <c r="B16" i="4"/>
  <c r="B15" i="4"/>
  <c r="B14" i="4"/>
  <c r="E10" i="4"/>
  <c r="E9" i="4"/>
  <c r="I37" i="5" l="1"/>
  <c r="C40" i="5"/>
  <c r="G40" i="5" s="1"/>
  <c r="D42" i="5"/>
  <c r="I36" i="5"/>
  <c r="B40" i="5"/>
  <c r="B41" i="5" s="1"/>
  <c r="F41" i="5" s="1"/>
  <c r="I41" i="5" s="1"/>
  <c r="H40" i="5"/>
  <c r="I35" i="5"/>
  <c r="B42" i="5"/>
  <c r="F20" i="3"/>
  <c r="C25" i="3"/>
  <c r="F25" i="3" s="1"/>
  <c r="F24" i="3" s="1"/>
  <c r="B27" i="3"/>
  <c r="B34" i="3"/>
  <c r="F40" i="5" l="1"/>
  <c r="I40" i="5" s="1"/>
  <c r="C41" i="5"/>
  <c r="G41" i="5" s="1"/>
  <c r="C42" i="5"/>
  <c r="C26" i="3"/>
  <c r="C27" i="3" l="1"/>
  <c r="C33" i="3"/>
  <c r="F26" i="3"/>
  <c r="F27" i="3" s="1"/>
  <c r="C34" i="3" l="1"/>
  <c r="F33" i="3"/>
  <c r="F34" i="3" s="1"/>
</calcChain>
</file>

<file path=xl/sharedStrings.xml><?xml version="1.0" encoding="utf-8"?>
<sst xmlns="http://schemas.openxmlformats.org/spreadsheetml/2006/main" count="402" uniqueCount="309">
  <si>
    <t>iRESTORE COO INTERVIEW — PRACTICE WORKBOOK #2</t>
  </si>
  <si>
    <t>NEW SCENARIOS — different from Workbook 1</t>
  </si>
  <si>
    <t xml:space="preserve">  1 - CAC &amp; LTV Analysis      →  Calculate CAC per channel, payback period, 2-yr LTV, and LTV:CAC ratios</t>
  </si>
  <si>
    <t xml:space="preserve">  2 - Return Rate Economics   →  Model the true cost of returns by channel; calculate net revenue and margin impact</t>
  </si>
  <si>
    <t xml:space="preserve">  3 - Working Capital         →  Calculate cash conversion cycle, days metrics, and working capital at risk</t>
  </si>
  <si>
    <t xml:space="preserve">  4 - Break-Even Analysis     →  New product go/no-go: calculate break-even units, payback period, sensitivity</t>
  </si>
  <si>
    <t>COLOR KEY:</t>
  </si>
  <si>
    <t xml:space="preserve">  🟡 Yellow  =  calculate this (enter a number or formula)</t>
  </si>
  <si>
    <t xml:space="preserve">  🟢 Green   =  your written answer</t>
  </si>
  <si>
    <t xml:space="preserve">  ⬜ White   =  given data, do not change</t>
  </si>
  <si>
    <t>GRADING NOTE:</t>
  </si>
  <si>
    <t xml:space="preserve">  Show your work — use formulas, not just typed numbers.</t>
  </si>
  <si>
    <t xml:space="preserve">  For written answers: lead with the recommendation, then support with numbers.</t>
  </si>
  <si>
    <t xml:space="preserve">  Round to the nearest dollar or percentage point — precision is less important than logic.</t>
  </si>
  <si>
    <t>Metric</t>
  </si>
  <si>
    <t>DTC</t>
  </si>
  <si>
    <t>Amazon</t>
  </si>
  <si>
    <t>Influencer
/ Affiliate</t>
  </si>
  <si>
    <t>Email / SMS
(retention)</t>
  </si>
  <si>
    <t>Total /
Blended</t>
  </si>
  <si>
    <t>Your Notes</t>
  </si>
  <si>
    <t>SECTION A — Acquisition (given data)</t>
  </si>
  <si>
    <t>New Customers Acquired</t>
  </si>
  <si>
    <t>Total Ad Spend</t>
  </si>
  <si>
    <t>First-Order Avg Revenue</t>
  </si>
  <si>
    <t>$218</t>
  </si>
  <si>
    <t>$231</t>
  </si>
  <si>
    <t>First-Order COGS %</t>
  </si>
  <si>
    <t>38%</t>
  </si>
  <si>
    <t>SECTION B — Calculate CAC  (yellow cells = your work)</t>
  </si>
  <si>
    <t>Email / SMS</t>
  </si>
  <si>
    <t>Blended</t>
  </si>
  <si>
    <t>CAC (= Ad Spend ÷ New Customers)</t>
  </si>
  <si>
    <t>← calculate</t>
  </si>
  <si>
    <t>First-Order Gross Profit per Customer
(= Avg Revenue × (1 − COGS%))</t>
  </si>
  <si>
    <t>Payback Period in Months
(= CAC ÷ (Gross Profit / 12 × avg monthly orders*))</t>
  </si>
  <si>
    <t>* For payback period: assume customers place 1.4 orders/year on DTC, 1.1 on Amazon, 1.3 on Influencer, 3.6 on Email (repeat buyers).</t>
  </si>
  <si>
    <t>SECTION C — 2-Year LTV  (given: repeat purchase data)</t>
  </si>
  <si>
    <t>% of customers who buy again in Yr 1</t>
  </si>
  <si>
    <t>31%</t>
  </si>
  <si>
    <t>14%</t>
  </si>
  <si>
    <t>26%</t>
  </si>
  <si>
    <t>72%</t>
  </si>
  <si>
    <t>% of customers who buy again in Yr 2</t>
  </si>
  <si>
    <t>22%</t>
  </si>
  <si>
    <t>9%</t>
  </si>
  <si>
    <t>18%</t>
  </si>
  <si>
    <t>58%</t>
  </si>
  <si>
    <t>Avg repeat order value</t>
  </si>
  <si>
    <t>$184</t>
  </si>
  <si>
    <t>$171</t>
  </si>
  <si>
    <t>$191</t>
  </si>
  <si>
    <t>Repeat order COGS %</t>
  </si>
  <si>
    <t>36%</t>
  </si>
  <si>
    <t>Churn after Yr 2 (assumed)</t>
  </si>
  <si>
    <t>65%</t>
  </si>
  <si>
    <t>80%</t>
  </si>
  <si>
    <t>70%</t>
  </si>
  <si>
    <t>45%</t>
  </si>
  <si>
    <t>Calculate:</t>
  </si>
  <si>
    <t>Yr 1 Repeat Gross Profit per acquired customer
(= repeat % × avg repeat order × (1−COGS%))</t>
  </si>
  <si>
    <t>Yr 2 Repeat Gross Profit per acquired customer</t>
  </si>
  <si>
    <t>2-Year Total LTV
(= First-Order GP + Yr1 Repeat GP + Yr2 Repeat GP)</t>
  </si>
  <si>
    <t>LTV : CAC Ratio  (benchmark: healthy = 3:1 or above)</t>
  </si>
  <si>
    <t>INSTRUCTIONS</t>
  </si>
  <si>
    <t>SECTION B — CAC: Divide total ad spend by new customers acquired per channel.</t>
  </si>
  <si>
    <t>SECTION B — Payback Period: CAC ÷ (monthly gross profit per customer). Monthly GP = First-Order GP × avg monthly order frequency.</t>
  </si>
  <si>
    <t>SECTION C — Yr1 Repeat GP: Multiply repeat purchase rate × avg repeat order value × gross margin (1−36%).</t>
  </si>
  <si>
    <t>SECTION C — 2-Year LTV: Sum first-order GP + Yr1 repeat GP + Yr2 repeat GP.</t>
  </si>
  <si>
    <t>SECTION C — Blended LTV:CAC: Weight by new customer volume across channels.</t>
  </si>
  <si>
    <t>QUESTIONS — write your answers in the green cells</t>
  </si>
  <si>
    <t>Q1: Which channel has the best LTV:CAC ratio? Which has the worst? What does that tell you about where to invest the next $1M of marketing budget?</t>
  </si>
  <si>
    <t>Q2: Email/SMS shows dramatically better repeat purchase rates (72% Yr1 vs 14% on Amazon). What drives that difference, and what's one thing you'd do operationally to move Amazon customers toward email-like behavior?</t>
  </si>
  <si>
    <t>Q3: The blended CAC has been rising. Based on your calculations, what is the maximum CAC you could accept on DTC and still maintain a 3:1 LTV:CAC? Show the math.</t>
  </si>
  <si>
    <t>SCENARIO 2: RETURN RATE ECONOMICS  |  Annual Data by Channel</t>
  </si>
  <si>
    <t>Costco</t>
  </si>
  <si>
    <t>B2B / Clinic</t>
  </si>
  <si>
    <t>Total</t>
  </si>
  <si>
    <t>Notes</t>
  </si>
  <si>
    <t>SECTION A — Revenue &amp; Return Data  (given)</t>
  </si>
  <si>
    <t>Gross Units Sold</t>
  </si>
  <si>
    <t>Gross Revenue</t>
  </si>
  <si>
    <t>Avg Selling Price</t>
  </si>
  <si>
    <t>$219</t>
  </si>
  <si>
    <t>$215</t>
  </si>
  <si>
    <t>$250</t>
  </si>
  <si>
    <t>Units Returned</t>
  </si>
  <si>
    <t>Return Rate</t>
  </si>
  <si>
    <t>Outbound Shipping Already Paid / unit</t>
  </si>
  <si>
    <t>$8.20</t>
  </si>
  <si>
    <t>$0</t>
  </si>
  <si>
    <t>$3.10</t>
  </si>
  <si>
    <t>Return Shipping Cost / unit</t>
  </si>
  <si>
    <t>$9.40</t>
  </si>
  <si>
    <t>$7.80</t>
  </si>
  <si>
    <t>$11.20</t>
  </si>
  <si>
    <t>Inspection / Handling / unit</t>
  </si>
  <si>
    <t>$4.00</t>
  </si>
  <si>
    <t>% of Returns Resold as Refurb</t>
  </si>
  <si>
    <t>55%</t>
  </si>
  <si>
    <t>40%</t>
  </si>
  <si>
    <t>25%</t>
  </si>
  <si>
    <t>75%</t>
  </si>
  <si>
    <t>Refurb Resale Value / unit</t>
  </si>
  <si>
    <t>$89</t>
  </si>
  <si>
    <t>$72</t>
  </si>
  <si>
    <t>$65</t>
  </si>
  <si>
    <t>$195</t>
  </si>
  <si>
    <t>Refurb Processing Cost / unit</t>
  </si>
  <si>
    <t>$18</t>
  </si>
  <si>
    <t>$12</t>
  </si>
  <si>
    <t>SECTION B — Calculate the True Cost of Returns  (yellow = your work)</t>
  </si>
  <si>
    <t>Return Rate  (= Units Returned ÷ Gross Units Sold)</t>
  </si>
  <si>
    <t>Net Units Sold  (= Gross Units − Returns)</t>
  </si>
  <si>
    <t>Net Revenue  (= Net Units × Avg Selling Price)</t>
  </si>
  <si>
    <t>Total Return Processing Cost per unit
(= Outbound already paid + Return shipping + Inspection)</t>
  </si>
  <si>
    <t>Total Return Processing Cost $
(= Units Returned × cost per unit)</t>
  </si>
  <si>
    <t>Refurb Units  (= Units Returned × % resold as refurb)</t>
  </si>
  <si>
    <t>Refurb Net Recovery per unit
(= Resale value − Refurb processing cost)</t>
  </si>
  <si>
    <t>Total Refurb Recovery $</t>
  </si>
  <si>
    <t>Net Cost of Returns $
(= Total Processing Cost − Refurb Recovery)</t>
  </si>
  <si>
    <t>Net Cost as % of Gross Revenue</t>
  </si>
  <si>
    <t>SECTION C — Gross Margin Impact  (given: COGS = $72/unit for all channels)</t>
  </si>
  <si>
    <t>COGS of Returned Units $  (= Units Returned × $72)
[units you manufactured but got back — cost is sunk]</t>
  </si>
  <si>
    <t>Gross Profit on Net Sales
(= Net Revenue − (Net Units × $72))</t>
  </si>
  <si>
    <t>Gross Profit After Returns
(= Gross Profit on Net Sales − Net Cost of Returns)</t>
  </si>
  <si>
    <t>Gross Margin After Returns %
(= Gross Profit After Returns ÷ Net Revenue)</t>
  </si>
  <si>
    <t>Return Rate = Units Returned ÷ Gross Units Sold (not net units).</t>
  </si>
  <si>
    <t>Total Return Processing Cost per unit = outbound shipping already paid + return shipping + inspection/handling.</t>
  </si>
  <si>
    <t>Refurb Net Recovery = Resale value − Refurb processing cost. Some units are NOT refurbed — those become disposal cost (assume $0 for simplicity).</t>
  </si>
  <si>
    <t>Net Cost of Returns = Total Processing Cost − Total Refurb Recovery. This is the true cash drag from returns.</t>
  </si>
  <si>
    <t>Gross Margin After Returns = Gross Profit After Returns ÷ Net Revenue. Compare across channels to find the hidden margin problem.</t>
  </si>
  <si>
    <t>Q1: After calculating the true net cost of returns, which channel has the worst return economics — and why is it not necessarily the one with the highest return rate?</t>
  </si>
  <si>
    <t>Q2: Costco has a 28% return rate. The CEO says 'that's just how Costco works, nothing we can do.' Do the numbers support that view? What would you push back with?</t>
  </si>
  <si>
    <t>Q3: If you could reduce Amazon's return rate by 3 percentage points (say from its calculated rate down by 3pp), what is the approximate annual dollar impact? Is that worth dedicating someone to fix?</t>
  </si>
  <si>
    <t>SCENARIO 3: WORKING CAPITAL &amp; CASH CONVERSION CYCLE</t>
  </si>
  <si>
    <t>Current State</t>
  </si>
  <si>
    <t>Industry
Benchmark</t>
  </si>
  <si>
    <t>Your Calc /
Filled Value</t>
  </si>
  <si>
    <t>SECTION A — Balance Sheet &amp; P&amp;L Data  (given)</t>
  </si>
  <si>
    <t>Annual Net Revenue</t>
  </si>
  <si>
    <t>Annual COGS</t>
  </si>
  <si>
    <t>Average Inventory on Hand</t>
  </si>
  <si>
    <t>End of period avg</t>
  </si>
  <si>
    <t>Accounts Receivable (ending)</t>
  </si>
  <si>
    <t>Primarily Costco &amp; retail — net 60</t>
  </si>
  <si>
    <t>Accounts Payable (ending)</t>
  </si>
  <si>
    <t>Manufacturer net-150 terms</t>
  </si>
  <si>
    <t>Avg Daily Net Revenue</t>
  </si>
  <si>
    <t>Avg Daily COGS</t>
  </si>
  <si>
    <t>SECTION B — Days Metrics &amp; Cash Conversion Cycle  (calculate yellow cells)</t>
  </si>
  <si>
    <t>Formula</t>
  </si>
  <si>
    <t>Your Answer</t>
  </si>
  <si>
    <t>What It Means</t>
  </si>
  <si>
    <t>Days Inventory Outstanding (DIO)</t>
  </si>
  <si>
    <t>60–90 days (DTC devices)</t>
  </si>
  <si>
    <t>How many days of inventory you're holding on average</t>
  </si>
  <si>
    <t>Days Sales Outstanding (DSO)</t>
  </si>
  <si>
    <t>15–30 days (mixed channels)</t>
  </si>
  <si>
    <t>How long it takes to collect cash after a sale</t>
  </si>
  <si>
    <t>Days Payable Outstanding (DPO)</t>
  </si>
  <si>
    <t>30–60 days (typical; yours is unusual)</t>
  </si>
  <si>
    <t>How long you take to pay suppliers</t>
  </si>
  <si>
    <t>Cash Conversion Cycle (CCC)</t>
  </si>
  <si>
    <t>Negative is best (you collect before you pay)</t>
  </si>
  <si>
    <t>Net days cash is tied up in the operating cycle</t>
  </si>
  <si>
    <t>SECTION C — Working Capital at Risk  (given: growth scenario)</t>
  </si>
  <si>
    <t>2025 Actual</t>
  </si>
  <si>
    <t>2026 Projected</t>
  </si>
  <si>
    <t>Change $</t>
  </si>
  <si>
    <t>Projected Revenue</t>
  </si>
  <si>
    <t>65% growth</t>
  </si>
  <si>
    <t>Projected COGS</t>
  </si>
  <si>
    <t>25% of revenue — same rate</t>
  </si>
  <si>
    <t>Projected Avg Inventory</t>
  </si>
  <si>
    <t>Scaled with revenue + new SKUs</t>
  </si>
  <si>
    <t>Projected AR</t>
  </si>
  <si>
    <t>More retail doors = longer collection</t>
  </si>
  <si>
    <t>Projected AP</t>
  </si>
  <si>
    <t>Larger POs, same net-150 terms</t>
  </si>
  <si>
    <t>2025</t>
  </si>
  <si>
    <t>2026</t>
  </si>
  <si>
    <t>Change</t>
  </si>
  <si>
    <t>So What?</t>
  </si>
  <si>
    <t>Net Working Capital (= Inventory + AR − AP)</t>
  </si>
  <si>
    <t>Additional Cash Needed to Fund Growth
(= 2026 NWC − 2025 NWC)</t>
  </si>
  <si>
    <t>Avg Daily Revenue = $90M ÷ 365 = $246,575. Avg Daily COGS = $22.5M ÷ 365 = $61,644.</t>
  </si>
  <si>
    <t>DIO = Avg Inventory ÷ Avg Daily COGS. A high DIO means cash is tied up in stock for a long time.</t>
  </si>
  <si>
    <t>DSO = AR ÷ Avg Daily Revenue. High DSO means customers are slow to pay.</t>
  </si>
  <si>
    <t>DPO = AP ÷ Avg Daily COGS. High DPO is GOOD — it means you're using supplier credit to fund operations.</t>
  </si>
  <si>
    <t>CCC = DIO + DSO − DPO. A negative CCC (like Amazon) means you collect cash before you pay for the goods.</t>
  </si>
  <si>
    <t>Net Working Capital = Inventory + AR − AP. This is the cash tied up in day-to-day operations.</t>
  </si>
  <si>
    <t>Q1: Calculate the CCC. Is this business in a healthy cash position given its working capital structure? The net-150 payment terms with the manufacturer are unusual — explain why they matter so much.</t>
  </si>
  <si>
    <t>Q2: If revenue grows to $155M in 2026 and working capital scales proportionally, how much additional cash will be needed to fund the growth? Where does that cash come from?</t>
  </si>
  <si>
    <t>Q3: A CFO at another company says 'we have a 180-day CCC, it's fine.' You know iRestore's is very different. Without revealing their numbers, how do you explain to a board member why CCC matters and what a good vs bad CCC looks like?</t>
  </si>
  <si>
    <t>SCENARIO 4: NEW PRODUCT BREAK-EVEN ANALYSIS  |  Body Panel ($399)</t>
  </si>
  <si>
    <t>Given Data</t>
  </si>
  <si>
    <t>Base Case</t>
  </si>
  <si>
    <t>Optimistic</t>
  </si>
  <si>
    <t>Pessimistic</t>
  </si>
  <si>
    <t>Notes / Assumptions</t>
  </si>
  <si>
    <t>SECTION A — Unit Economics (given)</t>
  </si>
  <si>
    <t>Selling Price (DTC)</t>
  </si>
  <si>
    <t>$399</t>
  </si>
  <si>
    <t>Same across scenarios</t>
  </si>
  <si>
    <t>Selling Price (Amazon)</t>
  </si>
  <si>
    <t>$359</t>
  </si>
  <si>
    <t>Slightly lower on Amazon</t>
  </si>
  <si>
    <t>COGS / unit  (Year 1)</t>
  </si>
  <si>
    <t>$142</t>
  </si>
  <si>
    <t>$128</t>
  </si>
  <si>
    <t>$158</t>
  </si>
  <si>
    <t>Optimistic: better supplier terms; Pessimistic: delays push costs up</t>
  </si>
  <si>
    <t>COGS / unit  (Year 2+, volume pricing)</t>
  </si>
  <si>
    <t>$108</t>
  </si>
  <si>
    <t>$98</t>
  </si>
  <si>
    <t>$122</t>
  </si>
  <si>
    <t>Volume pricing kicks in at ~30K units/yr</t>
  </si>
  <si>
    <t>Return Rate (DTC)</t>
  </si>
  <si>
    <t>7%</t>
  </si>
  <si>
    <t>New category — return rate uncertain</t>
  </si>
  <si>
    <t>Return Rate (Amazon)</t>
  </si>
  <si>
    <t>13%</t>
  </si>
  <si>
    <t>10%</t>
  </si>
  <si>
    <t>DTC Ad Spend % of Revenue</t>
  </si>
  <si>
    <t>28%</t>
  </si>
  <si>
    <t>24%</t>
  </si>
  <si>
    <t>35%</t>
  </si>
  <si>
    <t>Lower if influencer organic lifts; higher if CAC underperformed</t>
  </si>
  <si>
    <t>Amazon PPC % of Revenue</t>
  </si>
  <si>
    <t>15%</t>
  </si>
  <si>
    <t>Shipping / unit (DTC)</t>
  </si>
  <si>
    <t>$9.50</t>
  </si>
  <si>
    <t>Fixed</t>
  </si>
  <si>
    <t>Amazon Fees % of Amazon Revenue</t>
  </si>
  <si>
    <t>Referral + FBA fixed</t>
  </si>
  <si>
    <t>SECTION B — Launch Costs &amp; Volume Plan (given)</t>
  </si>
  <si>
    <t>Tooling / Mold Investment (one-time capex)</t>
  </si>
  <si>
    <t>$1,200,000</t>
  </si>
  <si>
    <t>Already committed regardless of launch decision</t>
  </si>
  <si>
    <t>Influencer Seeding / PR (one-time)</t>
  </si>
  <si>
    <t>$280,000</t>
  </si>
  <si>
    <t>Initial Inventory PO</t>
  </si>
  <si>
    <t>$710,000</t>
  </si>
  <si>
    <t>$640,000</t>
  </si>
  <si>
    <t>$790,000</t>
  </si>
  <si>
    <t>5,000 units × COGS (base); working capital, not expense</t>
  </si>
  <si>
    <t>Year 1 DTC Units (plan)</t>
  </si>
  <si>
    <t>8,500</t>
  </si>
  <si>
    <t>12,000</t>
  </si>
  <si>
    <t>5,500</t>
  </si>
  <si>
    <t>Year 1 Amazon Units (plan)</t>
  </si>
  <si>
    <t>6,500</t>
  </si>
  <si>
    <t>9,000</t>
  </si>
  <si>
    <t>4,000</t>
  </si>
  <si>
    <t>Year 2 DTC Units (plan)</t>
  </si>
  <si>
    <t>18,000</t>
  </si>
  <si>
    <t>26,000</t>
  </si>
  <si>
    <t>11,000</t>
  </si>
  <si>
    <t>Year 2 Amazon Units (plan)</t>
  </si>
  <si>
    <t>14,000</t>
  </si>
  <si>
    <t>20,000</t>
  </si>
  <si>
    <t>SECTION C — Calculate Year 1 P&amp;L by Scenario  (yellow = your work)</t>
  </si>
  <si>
    <t>P&amp;L Line</t>
  </si>
  <si>
    <t>Gross Revenue (DTC)  [= Units × Price]</t>
  </si>
  <si>
    <t>Gross Revenue (Amazon)</t>
  </si>
  <si>
    <t>Returns (DTC)  [= Gross Rev × Return Rate]</t>
  </si>
  <si>
    <t>Returns (Amazon)</t>
  </si>
  <si>
    <t>Net Revenue (Total)</t>
  </si>
  <si>
    <t>COGS — DTC  [= Net DTC Units × COGS/unit]</t>
  </si>
  <si>
    <t>COGS — Amazon</t>
  </si>
  <si>
    <t>Gross Profit</t>
  </si>
  <si>
    <t>Gross Margin %</t>
  </si>
  <si>
    <t>DTC Ad Spend  [= DTC Net Rev × Ad%]</t>
  </si>
  <si>
    <t>Amazon PPC  [= Amazon Net Rev × PPC%]</t>
  </si>
  <si>
    <t>Amazon Fees  [= Amazon Net Rev × 15%]</t>
  </si>
  <si>
    <t>DTC Shipping  [= Net DTC Units × $9.50]</t>
  </si>
  <si>
    <t>Contribution Margin $</t>
  </si>
  <si>
    <t>Contribution Margin %</t>
  </si>
  <si>
    <t>Break-Even Units (total)  — see instructions</t>
  </si>
  <si>
    <t>Months to Break-Even on Launch Costs</t>
  </si>
  <si>
    <t>Net DTC Units = DTC Units × (1 − Return Rate).  Net Amazon Units = Amazon Units × (1 − Return Rate).</t>
  </si>
  <si>
    <t>Net Revenue = (Net DTC Units × DTC Price) + (Net Amazon Units × Amazon Price).</t>
  </si>
  <si>
    <t>Gross Profit = Net Revenue − COGS. Gross Margin % = Gross Profit ÷ Net Revenue.</t>
  </si>
  <si>
    <t>Contribution Margin = Gross Profit − Ad Spend − Amazon PPC − Amazon Fees − Shipping − Influencer/PR.</t>
  </si>
  <si>
    <t>Break-Even Units: this is the number of units where Contribution Margin covers the one-time launch costs (Tooling + PR). Formula: = (Tooling + PR) ÷ CM per unit. CM per unit = Contribution Margin $ ÷ Total Net Units.</t>
  </si>
  <si>
    <t>Months to Break-Even = Break-Even Units ÷ (total monthly unit run rate in Year 1).</t>
  </si>
  <si>
    <t>Q1: In the base case, does Year 1 contribution margin cover the one-time launch costs? Calculate the break-even point and how many months it takes to get there.</t>
  </si>
  <si>
    <t>Q2: Compare base case vs pessimistic scenario. What is the biggest driver of the gap in contribution margin — is it the return rate, the COGS, or the ad spend? Show which one has the largest dollar impact.</t>
  </si>
  <si>
    <t>Q3: The CEO wants to launch in 6 weeks. The pessimistic scenario shows a negative contribution margin in Year 1. How do you frame your recommendation — do you launch or delay, and what condition would change your answer?</t>
  </si>
  <si>
    <t>≠</t>
  </si>
  <si>
    <t>n/a</t>
  </si>
  <si>
    <t>Used the average orders/month across channels (1.1,1,3,1.4)</t>
  </si>
  <si>
    <t>Email / SMS already baked into LTV of DTC + Influencer channels</t>
  </si>
  <si>
    <t>✏️ Your answer: Best channel is Influencer at 1.04 and worst channel is amazon at .56. If my calculations are correct, these are terrible LTC:CAC ratios. This would require a fundamental overhaul of our entire strategy. I'm guessing I calculated something incorrectly.</t>
  </si>
  <si>
    <t>✏️ Your answer: This isn't quite an apples to apples comparison, as email as a channel can include existing customers, or new customers that have already expressed strong intent by signing u for our email / sms list. So those customers are already a stronger cohort. That being said, you can move more from amazon to email by including inserts w/ QR codes that ask customers to sign up for warranty or for reviews.</t>
  </si>
  <si>
    <t xml:space="preserve">✏️ Your answer: I think I must've done something wrong earlier in this exercise, so this question is hard to answer for me. Will await your explanation. </t>
  </si>
  <si>
    <t xml:space="preserve">costco super high as expected, and DTC the best. </t>
  </si>
  <si>
    <t>amazon largest channel topline</t>
  </si>
  <si>
    <t>✏️ Your answer: According to my calculations, the channel with the worst return economics is Amazon, where we lose ~$480K, even though the highest return % is on costco of ~28%</t>
  </si>
  <si>
    <t xml:space="preserve">✏️ Your answer: Costco has a liberal return policy (lifetime), so it's tough to control that - but there are things we can do, like including inserts w/ QR codes for people to give us their information / email (e.g. sign up for warranty), at which point we can communicate with those customers and educate them on product benefits. </t>
  </si>
  <si>
    <t xml:space="preserve">✏️ Your answer: Current amazon net return impact is  $484,344.00 given the return rate of 15.5%. If we were able to drop that to 12.5%, the net cost of returns would be  $390,600.00. So the impact would be $94744 of added revenue back </t>
  </si>
  <si>
    <t>additional 5.5M in working capital required. Need to ensure balance sheet can support this</t>
  </si>
  <si>
    <t>✏️ Your answer: The calculations show 82.73, which I don't think lines up with our 150 payment terms. Perhaps the payment terms with other suppliers drag this down. We also hold onto inventory for 136 days, which is a bit high, but not crazy in my opinion. I would say we're in a healthy position since we have those terms, and even without them, being &lt;90 days isn't terrible since we can address this effectively with debt instruments.</t>
  </si>
  <si>
    <t>✏️ Your answer: $5.5M in additional working capital will be needed. This can come from the balance sheet, which we don't have visibility into here, it can also come from various debt instruments, and from revenue.</t>
  </si>
  <si>
    <t xml:space="preserve">✏️ Your answer: Negative cash conversion cycle is the dream, because you're generating revenue from sales before you need to pay for the products. This allows you to grow at a much faster rate. Conversely, if you have a long CCC cycle (Which 180 days certainly is), you need to use working capital to fund inventory buys, and if you want to be growing quickly, there's no way to do this strictly off of the balance sheet (you would definitely need debt or equity financing). </t>
  </si>
  <si>
    <t xml:space="preserve">✏️ Your answer: The biggest driver is DTC ad spent, which is a 8% difference in net margin.  In the base case we spent 28% on marketing, and in pessimistic case we spend 35%. Once accounting for returns, this ends up being 20% on DTC marketing in base case, and 28% in pessimistic case.  That 8% delta represents  $255,576.88 </t>
  </si>
  <si>
    <t>✏️ Your answer: It does not. It would take 29.26 months to get to break even in the base case.</t>
  </si>
  <si>
    <t>✏️ Your answer: I would delay until we develop a better strategy that gives us more confidence. I would change my answer is I had more confidence in marketing, or if we felt we could achieve base results on a lower PR or tooling spend, which could make the math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</si>
</sst>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71" formatCode="0.0"/>
    <numFmt numFmtId="173" formatCode="0.0%"/>
    <numFmt numFmtId="182" formatCode="_(* #,##0_);_(* \(#,##0\);_(* &quot;-&quot;??_);_(@_)"/>
  </numFmts>
  <fonts count="13" x14ac:knownFonts="1">
    <font>
      <sz val="11"/>
      <color theme="1"/>
      <name val="Calibri"/>
      <family val="2"/>
      <scheme val="minor"/>
    </font>
    <font>
      <b/>
      <sz val="14"/>
      <color rgb="FFFFFFFF"/>
      <name val="Calibri"/>
      <family val="2"/>
    </font>
    <font>
      <sz val="11"/>
      <name val="Calibri"/>
      <family val="2"/>
    </font>
    <font>
      <b/>
      <sz val="12"/>
      <color rgb="FFFFFFFF"/>
      <name val="Calibri"/>
      <family val="2"/>
    </font>
    <font>
      <sz val="10"/>
      <name val="Calibri"/>
      <family val="2"/>
    </font>
    <font>
      <b/>
      <sz val="11"/>
      <color rgb="FFFFFFFF"/>
      <name val="Calibri"/>
      <family val="2"/>
    </font>
    <font>
      <b/>
      <sz val="10"/>
      <color rgb="FFFFFFFF"/>
      <name val="Calibri"/>
      <family val="2"/>
    </font>
    <font>
      <b/>
      <sz val="10"/>
      <color rgb="FF000000"/>
      <name val="Calibri"/>
      <family val="2"/>
    </font>
    <font>
      <i/>
      <sz val="10"/>
      <color rgb="FF7F6000"/>
      <name val="Calibri"/>
      <family val="2"/>
    </font>
    <font>
      <i/>
      <sz val="9"/>
      <color rgb="FF666666"/>
      <name val="Calibri"/>
      <family val="2"/>
    </font>
    <font>
      <b/>
      <sz val="10"/>
      <name val="Calibri"/>
      <family val="2"/>
    </font>
    <font>
      <i/>
      <sz val="10"/>
      <color rgb="FF375623"/>
      <name val="Calibri"/>
      <family val="2"/>
    </font>
    <font>
      <sz val="11"/>
      <color theme="1"/>
      <name val="Calibri"/>
      <family val="2"/>
      <scheme val="minor"/>
    </font>
  </fonts>
  <fills count="8">
    <fill>
      <patternFill patternType="none"/>
    </fill>
    <fill>
      <patternFill patternType="gray125"/>
    </fill>
    <fill>
      <patternFill patternType="solid">
        <fgColor rgb="FF1F4E79"/>
      </patternFill>
    </fill>
    <fill>
      <patternFill patternType="solid">
        <fgColor rgb="FF2E75B6"/>
      </patternFill>
    </fill>
    <fill>
      <patternFill patternType="solid">
        <fgColor rgb="FFD6E4F0"/>
      </patternFill>
    </fill>
    <fill>
      <patternFill patternType="solid">
        <fgColor rgb="FFFFF2CC"/>
      </patternFill>
    </fill>
    <fill>
      <patternFill patternType="solid">
        <fgColor rgb="FFFFF9C4"/>
      </patternFill>
    </fill>
    <fill>
      <patternFill patternType="solid">
        <fgColor rgb="FFE2EFD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4">
    <xf numFmtId="0" fontId="0"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cellStyleXfs>
  <cellXfs count="42">
    <xf numFmtId="0" fontId="0" fillId="0" borderId="0" xfId="0"/>
    <xf numFmtId="0" fontId="1" fillId="2" borderId="0" xfId="0" applyFont="1" applyFill="1" applyAlignment="1">
      <alignment vertical="center" wrapText="1"/>
    </xf>
    <xf numFmtId="0" fontId="2" fillId="0" borderId="0" xfId="0" applyFont="1" applyAlignment="1">
      <alignment vertical="center" wrapText="1"/>
    </xf>
    <xf numFmtId="0" fontId="3" fillId="3" borderId="0" xfId="0" applyFont="1" applyFill="1" applyAlignment="1">
      <alignment vertical="center" wrapText="1"/>
    </xf>
    <xf numFmtId="0" fontId="4" fillId="0" borderId="0" xfId="0" applyFont="1" applyAlignment="1">
      <alignment vertical="center" wrapText="1"/>
    </xf>
    <xf numFmtId="0" fontId="5" fillId="3" borderId="0" xfId="0" applyFont="1" applyFill="1" applyAlignment="1">
      <alignment vertical="center" wrapText="1"/>
    </xf>
    <xf numFmtId="0" fontId="6" fillId="2" borderId="1" xfId="0" applyFont="1" applyFill="1" applyBorder="1" applyAlignment="1">
      <alignment horizontal="center" vertical="center" wrapText="1"/>
    </xf>
    <xf numFmtId="0" fontId="4" fillId="0" borderId="1" xfId="0" applyFont="1" applyBorder="1" applyAlignment="1">
      <alignment horizontal="left" vertical="center"/>
    </xf>
    <xf numFmtId="3" fontId="4" fillId="0" borderId="1" xfId="0" applyNumberFormat="1" applyFont="1" applyBorder="1" applyAlignment="1">
      <alignment horizontal="right" vertical="center"/>
    </xf>
    <xf numFmtId="0" fontId="0" fillId="0" borderId="1" xfId="0" applyBorder="1"/>
    <xf numFmtId="0" fontId="4" fillId="0" borderId="1" xfId="0" applyFont="1" applyBorder="1" applyAlignment="1">
      <alignment horizontal="right" vertical="center"/>
    </xf>
    <xf numFmtId="0" fontId="7" fillId="4"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8" fillId="5" borderId="1" xfId="0" applyFont="1" applyFill="1" applyBorder="1" applyAlignment="1">
      <alignment horizontal="center" vertical="center"/>
    </xf>
    <xf numFmtId="0" fontId="4" fillId="0" borderId="1" xfId="0" applyFont="1" applyBorder="1" applyAlignment="1">
      <alignment horizontal="center" vertical="center"/>
    </xf>
    <xf numFmtId="0" fontId="10" fillId="0" borderId="1" xfId="0" applyFont="1" applyBorder="1" applyAlignment="1">
      <alignment horizontal="left" vertical="center"/>
    </xf>
    <xf numFmtId="0" fontId="5" fillId="3" borderId="0" xfId="0" applyFont="1" applyFill="1" applyAlignment="1">
      <alignment horizontal="left" vertical="center"/>
    </xf>
    <xf numFmtId="0" fontId="0" fillId="0" borderId="0" xfId="0"/>
    <xf numFmtId="0" fontId="10" fillId="6" borderId="0" xfId="0" applyFont="1" applyFill="1" applyAlignment="1">
      <alignment horizontal="left" vertical="center" wrapText="1"/>
    </xf>
    <xf numFmtId="0" fontId="4" fillId="0" borderId="0" xfId="0" applyFont="1" applyAlignment="1">
      <alignment vertical="center" wrapText="1"/>
    </xf>
    <xf numFmtId="0" fontId="11" fillId="7" borderId="1" xfId="0" applyFont="1" applyFill="1" applyBorder="1" applyAlignment="1">
      <alignment horizontal="left" vertical="center" wrapText="1"/>
    </xf>
    <xf numFmtId="0" fontId="9" fillId="0" borderId="0" xfId="0" applyFont="1" applyAlignment="1">
      <alignment wrapText="1"/>
    </xf>
    <xf numFmtId="0" fontId="10" fillId="6" borderId="0" xfId="0" applyFont="1" applyFill="1" applyAlignment="1">
      <alignment horizontal="left" vertical="center"/>
    </xf>
    <xf numFmtId="2" fontId="8" fillId="5" borderId="1" xfId="0" applyNumberFormat="1" applyFont="1" applyFill="1" applyBorder="1" applyAlignment="1">
      <alignment horizontal="center" vertical="center"/>
    </xf>
    <xf numFmtId="171" fontId="8" fillId="5" borderId="1" xfId="0" applyNumberFormat="1" applyFont="1" applyFill="1" applyBorder="1" applyAlignment="1">
      <alignment horizontal="center" vertical="center"/>
    </xf>
    <xf numFmtId="44" fontId="8" fillId="5" borderId="1" xfId="2" applyFont="1" applyFill="1" applyBorder="1" applyAlignment="1">
      <alignment horizontal="center" vertical="center"/>
    </xf>
    <xf numFmtId="44" fontId="4" fillId="0" borderId="1" xfId="2" applyFont="1" applyBorder="1" applyAlignment="1">
      <alignment horizontal="right" vertical="center"/>
    </xf>
    <xf numFmtId="9" fontId="4" fillId="0" borderId="1" xfId="3" applyFont="1" applyBorder="1" applyAlignment="1">
      <alignment horizontal="right" vertical="center"/>
    </xf>
    <xf numFmtId="9" fontId="8" fillId="5" borderId="1" xfId="3" applyFont="1" applyFill="1" applyBorder="1" applyAlignment="1">
      <alignment horizontal="center" vertical="center"/>
    </xf>
    <xf numFmtId="173" fontId="8" fillId="5" borderId="1" xfId="3" applyNumberFormat="1" applyFont="1" applyFill="1" applyBorder="1" applyAlignment="1">
      <alignment horizontal="center" vertical="center"/>
    </xf>
    <xf numFmtId="10" fontId="8" fillId="5" borderId="1" xfId="3" applyNumberFormat="1" applyFont="1" applyFill="1" applyBorder="1" applyAlignment="1">
      <alignment horizontal="center" vertical="center"/>
    </xf>
    <xf numFmtId="3" fontId="8" fillId="5" borderId="1" xfId="0" applyNumberFormat="1" applyFont="1" applyFill="1" applyBorder="1" applyAlignment="1">
      <alignment horizontal="center" vertical="center"/>
    </xf>
    <xf numFmtId="44" fontId="8" fillId="5" borderId="1" xfId="0" applyNumberFormat="1" applyFont="1" applyFill="1" applyBorder="1" applyAlignment="1">
      <alignment horizontal="center" vertical="center"/>
    </xf>
    <xf numFmtId="44" fontId="0" fillId="0" borderId="1" xfId="0" applyNumberFormat="1" applyBorder="1"/>
    <xf numFmtId="1" fontId="8" fillId="5" borderId="1" xfId="0" applyNumberFormat="1" applyFont="1" applyFill="1" applyBorder="1" applyAlignment="1">
      <alignment horizontal="center" vertical="center"/>
    </xf>
    <xf numFmtId="0" fontId="0" fillId="0" borderId="1" xfId="0" applyBorder="1" applyAlignment="1">
      <alignment wrapText="1"/>
    </xf>
    <xf numFmtId="9" fontId="8" fillId="5" borderId="1" xfId="3" applyNumberFormat="1" applyFont="1" applyFill="1" applyBorder="1" applyAlignment="1">
      <alignment horizontal="center" vertical="center"/>
    </xf>
    <xf numFmtId="44" fontId="0" fillId="0" borderId="0" xfId="0" applyNumberFormat="1"/>
    <xf numFmtId="182" fontId="8" fillId="5" borderId="1" xfId="1" applyNumberFormat="1" applyFont="1" applyFill="1" applyBorder="1" applyAlignment="1">
      <alignment horizontal="center" vertical="center"/>
    </xf>
    <xf numFmtId="43" fontId="8" fillId="5" borderId="1" xfId="0" applyNumberFormat="1" applyFont="1" applyFill="1" applyBorder="1" applyAlignment="1">
      <alignment horizontal="center" vertical="center"/>
    </xf>
    <xf numFmtId="9" fontId="0" fillId="0" borderId="0" xfId="3" applyFont="1"/>
    <xf numFmtId="9" fontId="0" fillId="0" borderId="0" xfId="0" applyNumberFormat="1"/>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showGridLines="0" zoomScale="231" zoomScaleNormal="231" workbookViewId="0"/>
  </sheetViews>
  <sheetFormatPr baseColWidth="10" defaultColWidth="8.83203125" defaultRowHeight="15" x14ac:dyDescent="0.2"/>
  <cols>
    <col min="1" max="1" width="90" customWidth="1"/>
  </cols>
  <sheetData>
    <row r="1" spans="1:1" ht="22" customHeight="1" x14ac:dyDescent="0.2">
      <c r="A1" s="1" t="s">
        <v>0</v>
      </c>
    </row>
    <row r="2" spans="1:1" ht="22" customHeight="1" x14ac:dyDescent="0.2">
      <c r="A2" s="2"/>
    </row>
    <row r="3" spans="1:1" ht="22" customHeight="1" x14ac:dyDescent="0.2">
      <c r="A3" s="3" t="s">
        <v>1</v>
      </c>
    </row>
    <row r="4" spans="1:1" ht="22" customHeight="1" x14ac:dyDescent="0.2">
      <c r="A4" s="4"/>
    </row>
    <row r="5" spans="1:1" ht="22" customHeight="1" x14ac:dyDescent="0.2">
      <c r="A5" s="4" t="s">
        <v>2</v>
      </c>
    </row>
    <row r="6" spans="1:1" ht="22" customHeight="1" x14ac:dyDescent="0.2">
      <c r="A6" s="4" t="s">
        <v>3</v>
      </c>
    </row>
    <row r="7" spans="1:1" ht="22" customHeight="1" x14ac:dyDescent="0.2">
      <c r="A7" s="4" t="s">
        <v>4</v>
      </c>
    </row>
    <row r="8" spans="1:1" ht="22" customHeight="1" x14ac:dyDescent="0.2">
      <c r="A8" s="4" t="s">
        <v>5</v>
      </c>
    </row>
    <row r="9" spans="1:1" ht="22" customHeight="1" x14ac:dyDescent="0.2">
      <c r="A9" s="4"/>
    </row>
    <row r="10" spans="1:1" ht="22" customHeight="1" x14ac:dyDescent="0.2">
      <c r="A10" s="5" t="s">
        <v>6</v>
      </c>
    </row>
    <row r="11" spans="1:1" ht="22" customHeight="1" x14ac:dyDescent="0.2">
      <c r="A11" s="4" t="s">
        <v>7</v>
      </c>
    </row>
    <row r="12" spans="1:1" ht="22" customHeight="1" x14ac:dyDescent="0.2">
      <c r="A12" s="4" t="s">
        <v>8</v>
      </c>
    </row>
    <row r="13" spans="1:1" ht="22" customHeight="1" x14ac:dyDescent="0.2">
      <c r="A13" s="4" t="s">
        <v>9</v>
      </c>
    </row>
    <row r="14" spans="1:1" ht="22" customHeight="1" x14ac:dyDescent="0.2">
      <c r="A14" s="4"/>
    </row>
    <row r="15" spans="1:1" ht="22" customHeight="1" x14ac:dyDescent="0.2">
      <c r="A15" s="5" t="s">
        <v>10</v>
      </c>
    </row>
    <row r="16" spans="1:1" ht="22" customHeight="1" x14ac:dyDescent="0.2">
      <c r="A16" s="4" t="s">
        <v>11</v>
      </c>
    </row>
    <row r="17" spans="1:1" ht="22" customHeight="1" x14ac:dyDescent="0.2">
      <c r="A17" s="4" t="s">
        <v>12</v>
      </c>
    </row>
    <row r="18" spans="1:1" ht="22" customHeight="1" x14ac:dyDescent="0.2">
      <c r="A18" s="4"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2"/>
  <sheetViews>
    <sheetView zoomScale="160" zoomScaleNormal="160" workbookViewId="0">
      <pane ySplit="2" topLeftCell="A30" activePane="bottomLeft" state="frozen"/>
      <selection pane="bottomLeft" activeCell="C55" sqref="C55"/>
    </sheetView>
  </sheetViews>
  <sheetFormatPr baseColWidth="10" defaultColWidth="8.83203125" defaultRowHeight="15" x14ac:dyDescent="0.2"/>
  <cols>
    <col min="1" max="1" width="29" customWidth="1"/>
    <col min="2" max="6" width="13" customWidth="1"/>
    <col min="7" max="7" width="20" customWidth="1"/>
    <col min="8" max="8" width="16" customWidth="1"/>
  </cols>
  <sheetData>
    <row r="1" spans="1:8" ht="20" customHeight="1" x14ac:dyDescent="0.2">
      <c r="A1" s="16" t="s">
        <v>290</v>
      </c>
      <c r="B1" s="17"/>
      <c r="C1" s="17"/>
      <c r="D1" s="17"/>
      <c r="E1" s="17"/>
      <c r="F1" s="17"/>
      <c r="G1" s="17"/>
      <c r="H1" s="17"/>
    </row>
    <row r="2" spans="1:8" ht="32" customHeight="1" x14ac:dyDescent="0.2">
      <c r="A2" s="6" t="s">
        <v>14</v>
      </c>
      <c r="B2" s="6" t="s">
        <v>15</v>
      </c>
      <c r="C2" s="6" t="s">
        <v>16</v>
      </c>
      <c r="D2" s="6" t="s">
        <v>17</v>
      </c>
      <c r="E2" s="6" t="s">
        <v>18</v>
      </c>
      <c r="F2" s="6" t="s">
        <v>19</v>
      </c>
      <c r="G2" s="6" t="s">
        <v>20</v>
      </c>
      <c r="H2" s="6"/>
    </row>
    <row r="3" spans="1:8" ht="20" customHeight="1" x14ac:dyDescent="0.2">
      <c r="A3" s="16" t="s">
        <v>21</v>
      </c>
      <c r="B3" s="17"/>
      <c r="C3" s="17"/>
      <c r="D3" s="17"/>
      <c r="E3" s="17"/>
      <c r="F3" s="17"/>
      <c r="G3" s="17"/>
      <c r="H3" s="17"/>
    </row>
    <row r="4" spans="1:8" ht="16" customHeight="1" x14ac:dyDescent="0.2">
      <c r="A4" s="7" t="s">
        <v>22</v>
      </c>
      <c r="B4" s="8">
        <v>18400</v>
      </c>
      <c r="C4" s="8">
        <v>31200</v>
      </c>
      <c r="D4" s="8">
        <v>12800</v>
      </c>
      <c r="E4" s="9"/>
      <c r="F4" s="9"/>
      <c r="G4" s="9"/>
      <c r="H4" s="9"/>
    </row>
    <row r="5" spans="1:8" ht="16" customHeight="1" x14ac:dyDescent="0.2">
      <c r="A5" s="7" t="s">
        <v>23</v>
      </c>
      <c r="B5" s="8">
        <v>4600000</v>
      </c>
      <c r="C5" s="8">
        <v>7800000</v>
      </c>
      <c r="D5" s="8">
        <v>2200000</v>
      </c>
      <c r="E5" s="8">
        <v>480000</v>
      </c>
      <c r="F5" s="9"/>
      <c r="G5" s="9"/>
      <c r="H5" s="9"/>
    </row>
    <row r="6" spans="1:8" ht="16" customHeight="1" x14ac:dyDescent="0.2">
      <c r="A6" s="7" t="s">
        <v>24</v>
      </c>
      <c r="B6" s="26">
        <v>218</v>
      </c>
      <c r="C6" s="26">
        <v>189</v>
      </c>
      <c r="D6" s="26">
        <v>203</v>
      </c>
      <c r="E6" s="10" t="s">
        <v>26</v>
      </c>
      <c r="F6" s="9"/>
      <c r="G6" s="9"/>
      <c r="H6" s="9"/>
    </row>
    <row r="7" spans="1:8" ht="16" customHeight="1" x14ac:dyDescent="0.2">
      <c r="A7" s="7" t="s">
        <v>27</v>
      </c>
      <c r="B7" s="10" t="s">
        <v>28</v>
      </c>
      <c r="C7" s="10" t="s">
        <v>28</v>
      </c>
      <c r="D7" s="10" t="s">
        <v>28</v>
      </c>
      <c r="E7" s="10" t="s">
        <v>28</v>
      </c>
      <c r="F7" s="9"/>
      <c r="G7" s="9"/>
      <c r="H7" s="9"/>
    </row>
    <row r="9" spans="1:8" ht="20" customHeight="1" x14ac:dyDescent="0.2">
      <c r="A9" s="16" t="s">
        <v>29</v>
      </c>
      <c r="B9" s="17"/>
      <c r="C9" s="17"/>
      <c r="D9" s="17"/>
      <c r="E9" s="17"/>
      <c r="F9" s="17"/>
      <c r="G9" s="17"/>
      <c r="H9" s="17"/>
    </row>
    <row r="10" spans="1:8" ht="28" customHeight="1" x14ac:dyDescent="0.2">
      <c r="A10" s="11"/>
      <c r="B10" s="11" t="s">
        <v>15</v>
      </c>
      <c r="C10" s="11" t="s">
        <v>16</v>
      </c>
      <c r="D10" s="11" t="s">
        <v>17</v>
      </c>
      <c r="E10" s="11" t="s">
        <v>30</v>
      </c>
      <c r="F10" s="11" t="s">
        <v>31</v>
      </c>
      <c r="G10" s="11" t="s">
        <v>20</v>
      </c>
      <c r="H10" s="11"/>
    </row>
    <row r="11" spans="1:8" ht="32" customHeight="1" x14ac:dyDescent="0.2">
      <c r="A11" s="12" t="s">
        <v>32</v>
      </c>
      <c r="B11" s="25">
        <f>B5/B4</f>
        <v>250</v>
      </c>
      <c r="C11" s="25">
        <f t="shared" ref="C11:F11" si="0">C5/C4</f>
        <v>250</v>
      </c>
      <c r="D11" s="25">
        <f t="shared" si="0"/>
        <v>171.875</v>
      </c>
      <c r="E11" s="25"/>
      <c r="F11" s="25">
        <f>(SUM(B5:D5)/SUM(B4:D4))</f>
        <v>233.97435897435898</v>
      </c>
      <c r="G11" s="9"/>
      <c r="H11" s="9"/>
    </row>
    <row r="12" spans="1:8" ht="32" customHeight="1" x14ac:dyDescent="0.2">
      <c r="A12" s="12" t="s">
        <v>34</v>
      </c>
      <c r="B12" s="25">
        <f>(1-B7)*B6</f>
        <v>135.16</v>
      </c>
      <c r="C12" s="25">
        <f t="shared" ref="C12:F12" si="1">(1-C7)*C6</f>
        <v>117.17999999999999</v>
      </c>
      <c r="D12" s="25">
        <f t="shared" si="1"/>
        <v>125.86</v>
      </c>
      <c r="E12" s="25">
        <f t="shared" si="1"/>
        <v>143.22</v>
      </c>
      <c r="F12" s="25">
        <f>AVERAGE(B6:D6)*(1-C7)</f>
        <v>126.06666666666668</v>
      </c>
      <c r="G12" s="9"/>
      <c r="H12" s="9"/>
    </row>
    <row r="13" spans="1:8" ht="45" customHeight="1" x14ac:dyDescent="0.2">
      <c r="A13" s="12" t="s">
        <v>35</v>
      </c>
      <c r="B13" s="24">
        <f>B11/((B12*1.4)/12)</f>
        <v>15.854225679617807</v>
      </c>
      <c r="C13" s="24">
        <f>C11/((C12*1.1)/12)</f>
        <v>23.274216822603918</v>
      </c>
      <c r="D13" s="24">
        <f>D11/((D12*1.3)/12)</f>
        <v>12.605581293011772</v>
      </c>
      <c r="E13" s="24" t="s">
        <v>291</v>
      </c>
      <c r="F13" s="24">
        <f>F11/((F12*AVERAGE(1.1,1.3,1.4)/12))</f>
        <v>17.582754021285567</v>
      </c>
      <c r="G13" s="9" t="s">
        <v>292</v>
      </c>
      <c r="H13" s="9"/>
    </row>
    <row r="14" spans="1:8" ht="28" customHeight="1" x14ac:dyDescent="0.2">
      <c r="A14" s="21" t="s">
        <v>36</v>
      </c>
      <c r="B14" s="17"/>
      <c r="C14" s="17"/>
      <c r="D14" s="17"/>
      <c r="E14" s="17"/>
      <c r="F14" s="17"/>
      <c r="G14" s="17"/>
      <c r="H14" s="17"/>
    </row>
    <row r="16" spans="1:8" ht="20" customHeight="1" x14ac:dyDescent="0.2">
      <c r="A16" s="16" t="s">
        <v>37</v>
      </c>
      <c r="B16" s="17"/>
      <c r="C16" s="17"/>
      <c r="D16" s="17"/>
      <c r="E16" s="17"/>
      <c r="F16" s="17"/>
      <c r="G16" s="17"/>
      <c r="H16" s="17"/>
    </row>
    <row r="17" spans="1:8" ht="16" customHeight="1" x14ac:dyDescent="0.2">
      <c r="A17" s="7" t="s">
        <v>38</v>
      </c>
      <c r="B17" s="27" t="s">
        <v>39</v>
      </c>
      <c r="C17" s="27" t="s">
        <v>40</v>
      </c>
      <c r="D17" s="27" t="s">
        <v>41</v>
      </c>
      <c r="E17" s="27" t="s">
        <v>42</v>
      </c>
      <c r="F17" s="9"/>
      <c r="G17" s="9"/>
      <c r="H17" s="9"/>
    </row>
    <row r="18" spans="1:8" ht="16" customHeight="1" x14ac:dyDescent="0.2">
      <c r="A18" s="7" t="s">
        <v>43</v>
      </c>
      <c r="B18" s="27" t="s">
        <v>44</v>
      </c>
      <c r="C18" s="27" t="s">
        <v>45</v>
      </c>
      <c r="D18" s="27" t="s">
        <v>46</v>
      </c>
      <c r="E18" s="27" t="s">
        <v>47</v>
      </c>
      <c r="F18" s="9"/>
      <c r="G18" s="9"/>
      <c r="H18" s="9"/>
    </row>
    <row r="19" spans="1:8" ht="16" customHeight="1" x14ac:dyDescent="0.2">
      <c r="A19" s="7" t="s">
        <v>48</v>
      </c>
      <c r="B19" s="27" t="s">
        <v>49</v>
      </c>
      <c r="C19" s="27" t="s">
        <v>50</v>
      </c>
      <c r="D19" s="27" t="s">
        <v>51</v>
      </c>
      <c r="E19" s="27" t="s">
        <v>25</v>
      </c>
      <c r="F19" s="9"/>
      <c r="G19" s="9"/>
      <c r="H19" s="9"/>
    </row>
    <row r="20" spans="1:8" ht="16" customHeight="1" x14ac:dyDescent="0.2">
      <c r="A20" s="7" t="s">
        <v>52</v>
      </c>
      <c r="B20" s="27" t="s">
        <v>53</v>
      </c>
      <c r="C20" s="27" t="s">
        <v>53</v>
      </c>
      <c r="D20" s="27" t="s">
        <v>53</v>
      </c>
      <c r="E20" s="27" t="s">
        <v>53</v>
      </c>
      <c r="F20" s="9"/>
      <c r="G20" s="9"/>
      <c r="H20" s="9"/>
    </row>
    <row r="21" spans="1:8" ht="16" customHeight="1" x14ac:dyDescent="0.2">
      <c r="A21" s="7" t="s">
        <v>54</v>
      </c>
      <c r="B21" s="27" t="s">
        <v>55</v>
      </c>
      <c r="C21" s="27" t="s">
        <v>56</v>
      </c>
      <c r="D21" s="27" t="s">
        <v>57</v>
      </c>
      <c r="E21" s="27" t="s">
        <v>58</v>
      </c>
      <c r="F21" s="9"/>
      <c r="G21" s="9"/>
      <c r="H21" s="9"/>
    </row>
    <row r="23" spans="1:8" ht="28" customHeight="1" x14ac:dyDescent="0.2">
      <c r="A23" s="11" t="s">
        <v>59</v>
      </c>
      <c r="B23" s="11" t="s">
        <v>15</v>
      </c>
      <c r="C23" s="11" t="s">
        <v>16</v>
      </c>
      <c r="D23" s="11" t="s">
        <v>17</v>
      </c>
      <c r="E23" s="11" t="s">
        <v>30</v>
      </c>
      <c r="F23" s="11" t="s">
        <v>31</v>
      </c>
      <c r="G23" s="11" t="s">
        <v>20</v>
      </c>
      <c r="H23" s="11"/>
    </row>
    <row r="24" spans="1:8" ht="68" customHeight="1" x14ac:dyDescent="0.2">
      <c r="A24" s="12" t="s">
        <v>60</v>
      </c>
      <c r="B24" s="25">
        <f>B17*B19*(1-B20)</f>
        <v>36.505600000000001</v>
      </c>
      <c r="C24" s="25">
        <f t="shared" ref="C24:E24" si="2">C17*C19*(1-C20)</f>
        <v>15.321600000000002</v>
      </c>
      <c r="D24" s="25">
        <f t="shared" si="2"/>
        <v>31.782400000000003</v>
      </c>
      <c r="E24" s="25">
        <f t="shared" si="2"/>
        <v>100.45440000000001</v>
      </c>
      <c r="F24" s="25" t="s">
        <v>33</v>
      </c>
      <c r="G24" s="9" t="s">
        <v>293</v>
      </c>
      <c r="H24" s="9"/>
    </row>
    <row r="25" spans="1:8" ht="59" customHeight="1" x14ac:dyDescent="0.2">
      <c r="A25" s="12" t="s">
        <v>61</v>
      </c>
      <c r="B25" s="25">
        <f>B18*B19*(1-B20)</f>
        <v>25.9072</v>
      </c>
      <c r="C25" s="25">
        <f t="shared" ref="C25:E25" si="3">C18*C19*(1-C20)</f>
        <v>9.8495999999999988</v>
      </c>
      <c r="D25" s="25">
        <f t="shared" si="3"/>
        <v>22.003199999999996</v>
      </c>
      <c r="E25" s="25">
        <f t="shared" si="3"/>
        <v>80.921599999999998</v>
      </c>
      <c r="F25" s="25" t="s">
        <v>33</v>
      </c>
      <c r="G25" s="9" t="s">
        <v>293</v>
      </c>
      <c r="H25" s="9"/>
    </row>
    <row r="26" spans="1:8" ht="53" customHeight="1" x14ac:dyDescent="0.2">
      <c r="A26" s="12" t="s">
        <v>62</v>
      </c>
      <c r="B26" s="25">
        <f>B12+B24+B25</f>
        <v>197.57279999999997</v>
      </c>
      <c r="C26" s="25">
        <f t="shared" ref="C26:E26" si="4">C12+C24+C25</f>
        <v>142.35120000000001</v>
      </c>
      <c r="D26" s="25">
        <f t="shared" si="4"/>
        <v>179.6456</v>
      </c>
      <c r="E26" s="25">
        <f t="shared" si="4"/>
        <v>324.596</v>
      </c>
      <c r="F26" s="25" t="s">
        <v>33</v>
      </c>
      <c r="G26" s="9" t="s">
        <v>293</v>
      </c>
      <c r="H26" s="9"/>
    </row>
    <row r="27" spans="1:8" ht="36" customHeight="1" x14ac:dyDescent="0.2">
      <c r="A27" s="12" t="s">
        <v>63</v>
      </c>
      <c r="B27" s="13">
        <f>B26/B11</f>
        <v>0.79029119999999986</v>
      </c>
      <c r="C27" s="13">
        <f t="shared" ref="C27:E27" si="5">C26/C11</f>
        <v>0.56940480000000004</v>
      </c>
      <c r="D27" s="13">
        <f t="shared" si="5"/>
        <v>1.0452107636363637</v>
      </c>
      <c r="E27" s="13"/>
      <c r="F27" s="13">
        <f>(B27*(B4/SUM(B4:D4))+(C27*(C4/SUM(B4:D4))+(D27*(D4/SUM(B4:D4)))))</f>
        <v>0.73213919254079252</v>
      </c>
      <c r="G27" s="9" t="s">
        <v>293</v>
      </c>
      <c r="H27" s="9"/>
    </row>
    <row r="29" spans="1:8" ht="20" customHeight="1" x14ac:dyDescent="0.2">
      <c r="A29" s="16" t="s">
        <v>64</v>
      </c>
      <c r="B29" s="17"/>
      <c r="C29" s="17"/>
      <c r="D29" s="17"/>
      <c r="E29" s="17"/>
      <c r="F29" s="17"/>
      <c r="G29" s="17"/>
      <c r="H29" s="17"/>
    </row>
    <row r="30" spans="1:8" ht="22" customHeight="1" x14ac:dyDescent="0.2">
      <c r="A30" s="19" t="s">
        <v>65</v>
      </c>
      <c r="B30" s="17"/>
      <c r="C30" s="17"/>
      <c r="D30" s="17"/>
      <c r="E30" s="17"/>
      <c r="F30" s="17"/>
      <c r="G30" s="17"/>
      <c r="H30" s="17"/>
    </row>
    <row r="31" spans="1:8" ht="22" customHeight="1" x14ac:dyDescent="0.2">
      <c r="A31" s="19" t="s">
        <v>66</v>
      </c>
      <c r="B31" s="17"/>
      <c r="C31" s="17"/>
      <c r="D31" s="17"/>
      <c r="E31" s="17"/>
      <c r="F31" s="17"/>
      <c r="G31" s="17"/>
      <c r="H31" s="17"/>
    </row>
    <row r="32" spans="1:8" ht="22" customHeight="1" x14ac:dyDescent="0.2">
      <c r="A32" s="19" t="s">
        <v>67</v>
      </c>
      <c r="B32" s="17"/>
      <c r="C32" s="17"/>
      <c r="D32" s="17"/>
      <c r="E32" s="17"/>
      <c r="F32" s="17"/>
      <c r="G32" s="17"/>
      <c r="H32" s="17"/>
    </row>
    <row r="33" spans="1:8" ht="22" customHeight="1" x14ac:dyDescent="0.2">
      <c r="A33" s="19" t="s">
        <v>68</v>
      </c>
      <c r="B33" s="17"/>
      <c r="C33" s="17"/>
      <c r="D33" s="17"/>
      <c r="E33" s="17"/>
      <c r="F33" s="17"/>
      <c r="G33" s="17"/>
      <c r="H33" s="17"/>
    </row>
    <row r="34" spans="1:8" ht="22" customHeight="1" x14ac:dyDescent="0.2">
      <c r="A34" s="19" t="s">
        <v>69</v>
      </c>
      <c r="B34" s="17"/>
      <c r="C34" s="17"/>
      <c r="D34" s="17"/>
      <c r="E34" s="17"/>
      <c r="F34" s="17"/>
      <c r="G34" s="17"/>
      <c r="H34" s="17"/>
    </row>
    <row r="35" spans="1:8" ht="18" customHeight="1" x14ac:dyDescent="0.2">
      <c r="A35" s="22" t="s">
        <v>70</v>
      </c>
      <c r="B35" s="17"/>
      <c r="C35" s="17"/>
      <c r="D35" s="17"/>
      <c r="E35" s="17"/>
      <c r="F35" s="17"/>
      <c r="G35" s="17"/>
      <c r="H35" s="17"/>
    </row>
    <row r="36" spans="1:8" ht="32" customHeight="1" x14ac:dyDescent="0.2">
      <c r="A36" s="18" t="s">
        <v>71</v>
      </c>
      <c r="B36" s="17"/>
      <c r="C36" s="17"/>
      <c r="D36" s="17"/>
      <c r="E36" s="17"/>
      <c r="F36" s="17"/>
      <c r="G36" s="17"/>
      <c r="H36" s="17"/>
    </row>
    <row r="37" spans="1:8" ht="39" customHeight="1" x14ac:dyDescent="0.2">
      <c r="A37" s="20" t="s">
        <v>294</v>
      </c>
      <c r="B37" s="17"/>
      <c r="C37" s="17"/>
      <c r="D37" s="17"/>
      <c r="E37" s="17"/>
      <c r="F37" s="17"/>
      <c r="G37" s="17"/>
      <c r="H37" s="17"/>
    </row>
    <row r="38" spans="1:8" ht="18" customHeight="1" x14ac:dyDescent="0.2">
      <c r="A38" s="20"/>
      <c r="B38" s="17"/>
      <c r="C38" s="17"/>
      <c r="D38" s="17"/>
      <c r="E38" s="17"/>
      <c r="F38" s="17"/>
      <c r="G38" s="17"/>
      <c r="H38" s="17"/>
    </row>
    <row r="39" spans="1:8" ht="18" customHeight="1" x14ac:dyDescent="0.2">
      <c r="A39" s="20"/>
      <c r="B39" s="17"/>
      <c r="C39" s="17"/>
      <c r="D39" s="17"/>
      <c r="E39" s="17"/>
      <c r="F39" s="17"/>
      <c r="G39" s="17"/>
      <c r="H39" s="17"/>
    </row>
    <row r="40" spans="1:8" ht="18" customHeight="1" x14ac:dyDescent="0.2">
      <c r="A40" s="20"/>
      <c r="B40" s="17"/>
      <c r="C40" s="17"/>
      <c r="D40" s="17"/>
      <c r="E40" s="17"/>
      <c r="F40" s="17"/>
      <c r="G40" s="17"/>
      <c r="H40" s="17"/>
    </row>
    <row r="42" spans="1:8" ht="32" customHeight="1" x14ac:dyDescent="0.2">
      <c r="A42" s="18" t="s">
        <v>72</v>
      </c>
      <c r="B42" s="17"/>
      <c r="C42" s="17"/>
      <c r="D42" s="17"/>
      <c r="E42" s="17"/>
      <c r="F42" s="17"/>
      <c r="G42" s="17"/>
      <c r="H42" s="17"/>
    </row>
    <row r="43" spans="1:8" ht="18" customHeight="1" x14ac:dyDescent="0.2">
      <c r="A43" s="20" t="s">
        <v>295</v>
      </c>
      <c r="B43" s="17"/>
      <c r="C43" s="17"/>
      <c r="D43" s="17"/>
      <c r="E43" s="17"/>
      <c r="F43" s="17"/>
      <c r="G43" s="17"/>
      <c r="H43" s="17"/>
    </row>
    <row r="44" spans="1:8" ht="18" customHeight="1" x14ac:dyDescent="0.2">
      <c r="A44" s="20"/>
      <c r="B44" s="17"/>
      <c r="C44" s="17"/>
      <c r="D44" s="17"/>
      <c r="E44" s="17"/>
      <c r="F44" s="17"/>
      <c r="G44" s="17"/>
      <c r="H44" s="17"/>
    </row>
    <row r="45" spans="1:8" ht="18" customHeight="1" x14ac:dyDescent="0.2">
      <c r="A45" s="20"/>
      <c r="B45" s="17"/>
      <c r="C45" s="17"/>
      <c r="D45" s="17"/>
      <c r="E45" s="17"/>
      <c r="F45" s="17"/>
      <c r="G45" s="17"/>
      <c r="H45" s="17"/>
    </row>
    <row r="46" spans="1:8" ht="18" customHeight="1" x14ac:dyDescent="0.2">
      <c r="A46" s="20"/>
      <c r="B46" s="17"/>
      <c r="C46" s="17"/>
      <c r="D46" s="17"/>
      <c r="E46" s="17"/>
      <c r="F46" s="17"/>
      <c r="G46" s="17"/>
      <c r="H46" s="17"/>
    </row>
    <row r="48" spans="1:8" ht="32" customHeight="1" x14ac:dyDescent="0.2">
      <c r="A48" s="18" t="s">
        <v>73</v>
      </c>
      <c r="B48" s="17"/>
      <c r="C48" s="17"/>
      <c r="D48" s="17"/>
      <c r="E48" s="17"/>
      <c r="F48" s="17"/>
      <c r="G48" s="17"/>
      <c r="H48" s="17"/>
    </row>
    <row r="49" spans="1:8" ht="18" customHeight="1" x14ac:dyDescent="0.2">
      <c r="A49" s="20" t="s">
        <v>296</v>
      </c>
      <c r="B49" s="17"/>
      <c r="C49" s="17"/>
      <c r="D49" s="17"/>
      <c r="E49" s="17"/>
      <c r="F49" s="17"/>
      <c r="G49" s="17"/>
      <c r="H49" s="17"/>
    </row>
    <row r="50" spans="1:8" ht="18" customHeight="1" x14ac:dyDescent="0.2">
      <c r="A50" s="20"/>
      <c r="B50" s="17"/>
      <c r="C50" s="17"/>
      <c r="D50" s="17"/>
      <c r="E50" s="17"/>
      <c r="F50" s="17"/>
      <c r="G50" s="17"/>
      <c r="H50" s="17"/>
    </row>
    <row r="51" spans="1:8" ht="18" customHeight="1" x14ac:dyDescent="0.2">
      <c r="A51" s="20"/>
      <c r="B51" s="17"/>
      <c r="C51" s="17"/>
      <c r="D51" s="17"/>
      <c r="E51" s="17"/>
      <c r="F51" s="17"/>
      <c r="G51" s="17"/>
      <c r="H51" s="17"/>
    </row>
    <row r="52" spans="1:8" ht="18" customHeight="1" x14ac:dyDescent="0.2">
      <c r="A52" s="20"/>
      <c r="B52" s="17"/>
      <c r="C52" s="17"/>
      <c r="D52" s="17"/>
      <c r="E52" s="17"/>
      <c r="F52" s="17"/>
      <c r="G52" s="17"/>
      <c r="H52" s="17"/>
    </row>
  </sheetData>
  <mergeCells count="27">
    <mergeCell ref="A52:H52"/>
    <mergeCell ref="A44:H44"/>
    <mergeCell ref="A31:H31"/>
    <mergeCell ref="A40:H40"/>
    <mergeCell ref="A1:H1"/>
    <mergeCell ref="A45:H45"/>
    <mergeCell ref="A16:H16"/>
    <mergeCell ref="A37:H37"/>
    <mergeCell ref="A46:H46"/>
    <mergeCell ref="A3:H3"/>
    <mergeCell ref="A42:H42"/>
    <mergeCell ref="A33:H33"/>
    <mergeCell ref="A14:H14"/>
    <mergeCell ref="A32:H32"/>
    <mergeCell ref="A29:H29"/>
    <mergeCell ref="A35:H35"/>
    <mergeCell ref="A34:H34"/>
    <mergeCell ref="A43:H43"/>
    <mergeCell ref="A38:H38"/>
    <mergeCell ref="A9:H9"/>
    <mergeCell ref="A48:H48"/>
    <mergeCell ref="A30:H30"/>
    <mergeCell ref="A39:H39"/>
    <mergeCell ref="A51:H51"/>
    <mergeCell ref="A36:H36"/>
    <mergeCell ref="A49:H49"/>
    <mergeCell ref="A50:H5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9"/>
  <sheetViews>
    <sheetView zoomScale="162" zoomScaleNormal="162" workbookViewId="0">
      <pane ySplit="2" topLeftCell="A38" activePane="bottomLeft" state="frozen"/>
      <selection pane="bottomLeft" activeCell="B22" sqref="B22"/>
    </sheetView>
  </sheetViews>
  <sheetFormatPr baseColWidth="10" defaultColWidth="8.83203125" defaultRowHeight="15" x14ac:dyDescent="0.2"/>
  <cols>
    <col min="1" max="1" width="28" customWidth="1"/>
    <col min="2" max="2" width="12" customWidth="1"/>
    <col min="3" max="3" width="15.83203125" customWidth="1"/>
    <col min="4" max="5" width="12" customWidth="1"/>
    <col min="6" max="6" width="17.5" customWidth="1"/>
    <col min="7" max="7" width="37.6640625" customWidth="1"/>
  </cols>
  <sheetData>
    <row r="1" spans="1:7" ht="20" customHeight="1" x14ac:dyDescent="0.2">
      <c r="A1" s="16" t="s">
        <v>74</v>
      </c>
      <c r="B1" s="17"/>
      <c r="C1" s="17"/>
      <c r="D1" s="17"/>
      <c r="E1" s="17"/>
      <c r="F1" s="17"/>
      <c r="G1" s="17"/>
    </row>
    <row r="2" spans="1:7" ht="16" customHeight="1" x14ac:dyDescent="0.2">
      <c r="A2" s="6" t="s">
        <v>14</v>
      </c>
      <c r="B2" s="6" t="s">
        <v>15</v>
      </c>
      <c r="C2" s="6" t="s">
        <v>16</v>
      </c>
      <c r="D2" s="6" t="s">
        <v>75</v>
      </c>
      <c r="E2" s="6" t="s">
        <v>76</v>
      </c>
      <c r="F2" s="6" t="s">
        <v>77</v>
      </c>
      <c r="G2" s="6" t="s">
        <v>78</v>
      </c>
    </row>
    <row r="3" spans="1:7" ht="20" customHeight="1" x14ac:dyDescent="0.2">
      <c r="A3" s="16" t="s">
        <v>79</v>
      </c>
      <c r="B3" s="17"/>
      <c r="C3" s="17"/>
      <c r="D3" s="17"/>
      <c r="E3" s="17"/>
      <c r="F3" s="17"/>
      <c r="G3" s="17"/>
    </row>
    <row r="4" spans="1:7" ht="16" customHeight="1" x14ac:dyDescent="0.2">
      <c r="A4" s="7" t="s">
        <v>80</v>
      </c>
      <c r="B4" s="8">
        <v>45000</v>
      </c>
      <c r="C4" s="8">
        <v>62000</v>
      </c>
      <c r="D4" s="8">
        <v>14000</v>
      </c>
      <c r="E4" s="8">
        <v>8200</v>
      </c>
      <c r="F4" s="9"/>
      <c r="G4" s="9"/>
    </row>
    <row r="5" spans="1:7" ht="16" customHeight="1" x14ac:dyDescent="0.2">
      <c r="A5" s="7" t="s">
        <v>81</v>
      </c>
      <c r="B5" s="8">
        <v>9855000</v>
      </c>
      <c r="C5" s="8">
        <v>11842000</v>
      </c>
      <c r="D5" s="8">
        <v>3010000</v>
      </c>
      <c r="E5" s="8">
        <v>2050000</v>
      </c>
      <c r="F5" s="9"/>
      <c r="G5" s="9"/>
    </row>
    <row r="6" spans="1:7" ht="16" customHeight="1" x14ac:dyDescent="0.2">
      <c r="A6" s="7" t="s">
        <v>82</v>
      </c>
      <c r="B6" s="10" t="s">
        <v>83</v>
      </c>
      <c r="C6" s="10" t="s">
        <v>51</v>
      </c>
      <c r="D6" s="10" t="s">
        <v>84</v>
      </c>
      <c r="E6" s="10" t="s">
        <v>85</v>
      </c>
      <c r="F6" s="9"/>
      <c r="G6" s="9"/>
    </row>
    <row r="7" spans="1:7" ht="16" customHeight="1" x14ac:dyDescent="0.2">
      <c r="A7" s="7" t="s">
        <v>86</v>
      </c>
      <c r="B7" s="8">
        <v>3825</v>
      </c>
      <c r="C7" s="8">
        <v>9610</v>
      </c>
      <c r="D7" s="8">
        <v>3920</v>
      </c>
      <c r="E7" s="8">
        <v>246</v>
      </c>
      <c r="F7" s="9"/>
      <c r="G7" s="9"/>
    </row>
    <row r="8" spans="1:7" ht="16" customHeight="1" x14ac:dyDescent="0.2">
      <c r="A8" s="7" t="s">
        <v>87</v>
      </c>
      <c r="B8" s="9"/>
      <c r="C8" s="9"/>
      <c r="D8" s="9"/>
      <c r="E8" s="9"/>
      <c r="F8" s="9"/>
      <c r="G8" s="9"/>
    </row>
    <row r="9" spans="1:7" ht="16" customHeight="1" x14ac:dyDescent="0.2">
      <c r="A9" s="7" t="s">
        <v>88</v>
      </c>
      <c r="B9" s="10" t="s">
        <v>89</v>
      </c>
      <c r="C9" s="10" t="s">
        <v>90</v>
      </c>
      <c r="D9" s="10" t="s">
        <v>91</v>
      </c>
      <c r="E9" s="10" t="s">
        <v>90</v>
      </c>
      <c r="F9" s="9"/>
      <c r="G9" s="9"/>
    </row>
    <row r="10" spans="1:7" ht="16" customHeight="1" x14ac:dyDescent="0.2">
      <c r="A10" s="7" t="s">
        <v>92</v>
      </c>
      <c r="B10" s="10" t="s">
        <v>93</v>
      </c>
      <c r="C10" s="10" t="s">
        <v>94</v>
      </c>
      <c r="D10" s="10" t="s">
        <v>95</v>
      </c>
      <c r="E10" s="10" t="s">
        <v>90</v>
      </c>
      <c r="F10" s="9"/>
      <c r="G10" s="9"/>
    </row>
    <row r="11" spans="1:7" ht="16" customHeight="1" x14ac:dyDescent="0.2">
      <c r="A11" s="7" t="s">
        <v>96</v>
      </c>
      <c r="B11" s="10" t="s">
        <v>97</v>
      </c>
      <c r="C11" s="10" t="s">
        <v>97</v>
      </c>
      <c r="D11" s="10" t="s">
        <v>97</v>
      </c>
      <c r="E11" s="10" t="s">
        <v>90</v>
      </c>
      <c r="F11" s="9"/>
      <c r="G11" s="9"/>
    </row>
    <row r="12" spans="1:7" ht="16" customHeight="1" x14ac:dyDescent="0.2">
      <c r="A12" s="7" t="s">
        <v>98</v>
      </c>
      <c r="B12" s="10" t="s">
        <v>99</v>
      </c>
      <c r="C12" s="10" t="s">
        <v>100</v>
      </c>
      <c r="D12" s="10" t="s">
        <v>101</v>
      </c>
      <c r="E12" s="10" t="s">
        <v>102</v>
      </c>
      <c r="F12" s="9"/>
      <c r="G12" s="9"/>
    </row>
    <row r="13" spans="1:7" ht="16" customHeight="1" x14ac:dyDescent="0.2">
      <c r="A13" s="7" t="s">
        <v>103</v>
      </c>
      <c r="B13" s="10" t="s">
        <v>104</v>
      </c>
      <c r="C13" s="10" t="s">
        <v>105</v>
      </c>
      <c r="D13" s="10" t="s">
        <v>106</v>
      </c>
      <c r="E13" s="10" t="s">
        <v>107</v>
      </c>
      <c r="F13" s="9"/>
      <c r="G13" s="9"/>
    </row>
    <row r="14" spans="1:7" ht="16" customHeight="1" x14ac:dyDescent="0.2">
      <c r="A14" s="7" t="s">
        <v>108</v>
      </c>
      <c r="B14" s="10" t="s">
        <v>109</v>
      </c>
      <c r="C14" s="10" t="s">
        <v>109</v>
      </c>
      <c r="D14" s="10" t="s">
        <v>109</v>
      </c>
      <c r="E14" s="10" t="s">
        <v>110</v>
      </c>
      <c r="F14" s="9"/>
      <c r="G14" s="9"/>
    </row>
    <row r="16" spans="1:7" ht="20" customHeight="1" x14ac:dyDescent="0.2">
      <c r="A16" s="16" t="s">
        <v>111</v>
      </c>
      <c r="B16" s="17"/>
      <c r="C16" s="17"/>
      <c r="D16" s="17"/>
      <c r="E16" s="17"/>
      <c r="F16" s="17"/>
      <c r="G16" s="17"/>
    </row>
    <row r="17" spans="1:7" ht="16" customHeight="1" x14ac:dyDescent="0.2">
      <c r="A17" s="11" t="s">
        <v>59</v>
      </c>
      <c r="B17" s="11" t="s">
        <v>15</v>
      </c>
      <c r="C17" s="11" t="s">
        <v>16</v>
      </c>
      <c r="D17" s="11" t="s">
        <v>75</v>
      </c>
      <c r="E17" s="11" t="s">
        <v>76</v>
      </c>
      <c r="F17" s="11" t="s">
        <v>77</v>
      </c>
      <c r="G17" s="11" t="s">
        <v>78</v>
      </c>
    </row>
    <row r="18" spans="1:7" ht="30" customHeight="1" x14ac:dyDescent="0.2">
      <c r="A18" s="12" t="s">
        <v>112</v>
      </c>
      <c r="B18" s="29">
        <f>B7/B4</f>
        <v>8.5000000000000006E-2</v>
      </c>
      <c r="C18" s="29">
        <f t="shared" ref="C18:E18" si="0">C7/C4</f>
        <v>0.155</v>
      </c>
      <c r="D18" s="29">
        <f t="shared" si="0"/>
        <v>0.28000000000000003</v>
      </c>
      <c r="E18" s="29">
        <f t="shared" si="0"/>
        <v>0.03</v>
      </c>
      <c r="F18" s="29">
        <f>SUM(B7:E7)/SUM(B4:E4)</f>
        <v>0.13623065015479877</v>
      </c>
      <c r="G18" s="9" t="s">
        <v>297</v>
      </c>
    </row>
    <row r="19" spans="1:7" ht="30" customHeight="1" x14ac:dyDescent="0.2">
      <c r="A19" s="12" t="s">
        <v>113</v>
      </c>
      <c r="B19" s="31">
        <f>B4-B7</f>
        <v>41175</v>
      </c>
      <c r="C19" s="31">
        <f t="shared" ref="C19:E19" si="1">C4-C7</f>
        <v>52390</v>
      </c>
      <c r="D19" s="31">
        <f t="shared" si="1"/>
        <v>10080</v>
      </c>
      <c r="E19" s="31">
        <f t="shared" si="1"/>
        <v>7954</v>
      </c>
      <c r="F19" s="31">
        <f>SUM(B4:E4)-SUM(B7:E7)</f>
        <v>111599</v>
      </c>
      <c r="G19" s="9"/>
    </row>
    <row r="20" spans="1:7" ht="45" customHeight="1" x14ac:dyDescent="0.2">
      <c r="A20" s="12" t="s">
        <v>114</v>
      </c>
      <c r="B20" s="25">
        <f>B19*B6</f>
        <v>9017325</v>
      </c>
      <c r="C20" s="25">
        <f t="shared" ref="C20:E20" si="2">C19*C6</f>
        <v>10006490</v>
      </c>
      <c r="D20" s="25">
        <f t="shared" si="2"/>
        <v>2167200</v>
      </c>
      <c r="E20" s="25">
        <f t="shared" si="2"/>
        <v>1988500</v>
      </c>
      <c r="F20" s="32">
        <f>SUM(B20:E20)</f>
        <v>23179515</v>
      </c>
      <c r="G20" s="9" t="s">
        <v>298</v>
      </c>
    </row>
    <row r="21" spans="1:7" ht="53" customHeight="1" x14ac:dyDescent="0.2">
      <c r="A21" s="12" t="s">
        <v>115</v>
      </c>
      <c r="B21" s="25">
        <f>B9+B10+B11</f>
        <v>21.6</v>
      </c>
      <c r="C21" s="25">
        <f t="shared" ref="C21:E21" si="3">C9+C10+C11</f>
        <v>11.8</v>
      </c>
      <c r="D21" s="25">
        <f>D9+D10+D11</f>
        <v>18.299999999999997</v>
      </c>
      <c r="E21" s="25">
        <f t="shared" si="3"/>
        <v>0</v>
      </c>
      <c r="F21" s="32">
        <f>((B21*B7)+(C21*C7)+(D21*D7))/(B7+C7+D7)</f>
        <v>15.428061077499279</v>
      </c>
      <c r="G21" s="33"/>
    </row>
    <row r="22" spans="1:7" ht="56" customHeight="1" x14ac:dyDescent="0.2">
      <c r="A22" s="12" t="s">
        <v>116</v>
      </c>
      <c r="B22" s="32">
        <f>72*B7</f>
        <v>275400</v>
      </c>
      <c r="C22" s="32">
        <f t="shared" ref="C22:D22" si="4">72*C7</f>
        <v>691920</v>
      </c>
      <c r="D22" s="32">
        <f t="shared" si="4"/>
        <v>282240</v>
      </c>
      <c r="E22" s="32">
        <f t="shared" ref="C22:E22" si="5">E21*E7</f>
        <v>0</v>
      </c>
      <c r="F22" s="32">
        <f>SUM(B22:D22)</f>
        <v>1249560</v>
      </c>
      <c r="G22" s="9"/>
    </row>
    <row r="23" spans="1:7" ht="57" customHeight="1" x14ac:dyDescent="0.2">
      <c r="A23" s="12" t="s">
        <v>117</v>
      </c>
      <c r="B23" s="34">
        <f>B7*B12</f>
        <v>2103.75</v>
      </c>
      <c r="C23" s="34">
        <f t="shared" ref="C23:E23" si="6">C7*C12</f>
        <v>3844</v>
      </c>
      <c r="D23" s="34">
        <f t="shared" si="6"/>
        <v>980</v>
      </c>
      <c r="E23" s="34">
        <f t="shared" si="6"/>
        <v>184.5</v>
      </c>
      <c r="F23" s="34">
        <f>SUM(B23:E23)</f>
        <v>7112.25</v>
      </c>
      <c r="G23" s="9"/>
    </row>
    <row r="24" spans="1:7" ht="43" customHeight="1" x14ac:dyDescent="0.2">
      <c r="A24" s="12" t="s">
        <v>118</v>
      </c>
      <c r="B24" s="25">
        <f>B13-B14</f>
        <v>71</v>
      </c>
      <c r="C24" s="25">
        <f t="shared" ref="C24:E24" si="7">C13-C14</f>
        <v>54</v>
      </c>
      <c r="D24" s="25">
        <f t="shared" si="7"/>
        <v>47</v>
      </c>
      <c r="E24" s="25">
        <f t="shared" si="7"/>
        <v>183</v>
      </c>
      <c r="F24" s="32">
        <f>F25/F23</f>
        <v>61.410348342648248</v>
      </c>
      <c r="G24" s="9"/>
    </row>
    <row r="25" spans="1:7" ht="44" customHeight="1" x14ac:dyDescent="0.2">
      <c r="A25" s="12" t="s">
        <v>119</v>
      </c>
      <c r="B25" s="32">
        <f>B23*B24</f>
        <v>149366.25</v>
      </c>
      <c r="C25" s="32">
        <f t="shared" ref="C25:E25" si="8">C23*C24</f>
        <v>207576</v>
      </c>
      <c r="D25" s="32">
        <f t="shared" si="8"/>
        <v>46060</v>
      </c>
      <c r="E25" s="32">
        <f t="shared" si="8"/>
        <v>33763.5</v>
      </c>
      <c r="F25" s="32">
        <f>SUM(B25:E25)</f>
        <v>436765.75</v>
      </c>
      <c r="G25" s="9"/>
    </row>
    <row r="26" spans="1:7" ht="47" customHeight="1" x14ac:dyDescent="0.2">
      <c r="A26" s="12" t="s">
        <v>120</v>
      </c>
      <c r="B26" s="32">
        <f>B25-B22</f>
        <v>-126033.75</v>
      </c>
      <c r="C26" s="32">
        <f t="shared" ref="C26:E26" si="9">C25-C22</f>
        <v>-484344</v>
      </c>
      <c r="D26" s="32">
        <f t="shared" si="9"/>
        <v>-236180</v>
      </c>
      <c r="E26" s="32">
        <f t="shared" si="9"/>
        <v>33763.5</v>
      </c>
      <c r="F26" s="32">
        <f>SUM(B26:E26)</f>
        <v>-812794.25</v>
      </c>
      <c r="G26" s="35"/>
    </row>
    <row r="27" spans="1:7" ht="30" customHeight="1" x14ac:dyDescent="0.2">
      <c r="A27" s="12" t="s">
        <v>121</v>
      </c>
      <c r="B27" s="30">
        <f>B26/B5</f>
        <v>-1.2788812785388128E-2</v>
      </c>
      <c r="C27" s="30">
        <f t="shared" ref="C27:F27" si="10">C26/C5</f>
        <v>-4.0900523560209422E-2</v>
      </c>
      <c r="D27" s="30">
        <f t="shared" si="10"/>
        <v>-7.8465116279069769E-2</v>
      </c>
      <c r="E27" s="30">
        <f t="shared" si="10"/>
        <v>1.6469999999999999E-2</v>
      </c>
      <c r="F27" s="30">
        <f>F26/SUM(B5:E5)</f>
        <v>-3.0376882684904884E-2</v>
      </c>
      <c r="G27" s="9"/>
    </row>
    <row r="29" spans="1:7" ht="20" customHeight="1" x14ac:dyDescent="0.2">
      <c r="A29" s="16" t="s">
        <v>122</v>
      </c>
      <c r="B29" s="17"/>
      <c r="C29" s="17"/>
      <c r="D29" s="17"/>
      <c r="E29" s="17"/>
      <c r="F29" s="17"/>
      <c r="G29" s="17"/>
    </row>
    <row r="30" spans="1:7" ht="16" customHeight="1" x14ac:dyDescent="0.2">
      <c r="A30" s="11" t="s">
        <v>59</v>
      </c>
      <c r="B30" s="11" t="s">
        <v>15</v>
      </c>
      <c r="C30" s="11" t="s">
        <v>16</v>
      </c>
      <c r="D30" s="11" t="s">
        <v>75</v>
      </c>
      <c r="E30" s="11" t="s">
        <v>76</v>
      </c>
      <c r="F30" s="11" t="s">
        <v>77</v>
      </c>
      <c r="G30" s="11" t="s">
        <v>78</v>
      </c>
    </row>
    <row r="31" spans="1:7" ht="54" customHeight="1" x14ac:dyDescent="0.2">
      <c r="A31" s="12" t="s">
        <v>123</v>
      </c>
      <c r="B31" s="25">
        <f>B7*72</f>
        <v>275400</v>
      </c>
      <c r="C31" s="25">
        <f t="shared" ref="C31:E31" si="11">C7*72</f>
        <v>691920</v>
      </c>
      <c r="D31" s="25">
        <f t="shared" si="11"/>
        <v>282240</v>
      </c>
      <c r="E31" s="25">
        <f t="shared" si="11"/>
        <v>17712</v>
      </c>
      <c r="F31" s="32">
        <f>SUM(B31:E31)</f>
        <v>1267272</v>
      </c>
      <c r="G31" s="9"/>
    </row>
    <row r="32" spans="1:7" ht="36" customHeight="1" x14ac:dyDescent="0.2">
      <c r="A32" s="12" t="s">
        <v>124</v>
      </c>
      <c r="B32" s="32">
        <f>B20-(B19*72)</f>
        <v>6052725</v>
      </c>
      <c r="C32" s="32">
        <f t="shared" ref="C32:E32" si="12">C20-(C19*72)</f>
        <v>6234410</v>
      </c>
      <c r="D32" s="32">
        <f t="shared" si="12"/>
        <v>1441440</v>
      </c>
      <c r="E32" s="32">
        <f t="shared" si="12"/>
        <v>1415812</v>
      </c>
      <c r="F32" s="32">
        <f>SUM(B32:E32)</f>
        <v>15144387</v>
      </c>
      <c r="G32" s="9"/>
    </row>
    <row r="33" spans="1:7" ht="36" customHeight="1" x14ac:dyDescent="0.2">
      <c r="A33" s="12" t="s">
        <v>125</v>
      </c>
      <c r="B33" s="32">
        <f>B32+B26</f>
        <v>5926691.25</v>
      </c>
      <c r="C33" s="32">
        <f t="shared" ref="C33:E33" si="13">C32+C26</f>
        <v>5750066</v>
      </c>
      <c r="D33" s="32">
        <f t="shared" si="13"/>
        <v>1205260</v>
      </c>
      <c r="E33" s="32">
        <f t="shared" si="13"/>
        <v>1449575.5</v>
      </c>
      <c r="F33" s="32">
        <f>SUM(B33:E33)</f>
        <v>14331592.75</v>
      </c>
      <c r="G33" s="9"/>
    </row>
    <row r="34" spans="1:7" ht="52" customHeight="1" x14ac:dyDescent="0.2">
      <c r="A34" s="12" t="s">
        <v>126</v>
      </c>
      <c r="B34" s="29">
        <f>B33/B20</f>
        <v>0.65725603213813411</v>
      </c>
      <c r="C34" s="29">
        <f t="shared" ref="C34:F34" si="14">C33/C20</f>
        <v>0.57463366275287342</v>
      </c>
      <c r="D34" s="29">
        <f t="shared" si="14"/>
        <v>0.55613695090439275</v>
      </c>
      <c r="E34" s="29">
        <f t="shared" si="14"/>
        <v>0.72897938144329899</v>
      </c>
      <c r="F34" s="29">
        <f t="shared" si="14"/>
        <v>0.61828699823960942</v>
      </c>
      <c r="G34" s="9"/>
    </row>
    <row r="36" spans="1:7" ht="20" customHeight="1" x14ac:dyDescent="0.2">
      <c r="A36" s="16" t="s">
        <v>64</v>
      </c>
      <c r="B36" s="17"/>
      <c r="C36" s="17"/>
      <c r="D36" s="17"/>
      <c r="E36" s="17"/>
      <c r="F36" s="17"/>
      <c r="G36" s="17"/>
    </row>
    <row r="37" spans="1:7" ht="22" customHeight="1" x14ac:dyDescent="0.2">
      <c r="A37" s="19" t="s">
        <v>127</v>
      </c>
      <c r="B37" s="17"/>
      <c r="C37" s="17"/>
      <c r="D37" s="17"/>
      <c r="E37" s="17"/>
      <c r="F37" s="17"/>
      <c r="G37" s="17"/>
    </row>
    <row r="38" spans="1:7" ht="22" customHeight="1" x14ac:dyDescent="0.2">
      <c r="A38" s="19" t="s">
        <v>128</v>
      </c>
      <c r="B38" s="17"/>
      <c r="C38" s="17"/>
      <c r="D38" s="17"/>
      <c r="E38" s="17"/>
      <c r="F38" s="17"/>
      <c r="G38" s="17"/>
    </row>
    <row r="39" spans="1:7" ht="22" customHeight="1" x14ac:dyDescent="0.2">
      <c r="A39" s="19" t="s">
        <v>129</v>
      </c>
      <c r="B39" s="17"/>
      <c r="C39" s="17"/>
      <c r="D39" s="17"/>
      <c r="E39" s="17"/>
      <c r="F39" s="17"/>
      <c r="G39" s="17"/>
    </row>
    <row r="40" spans="1:7" ht="22" customHeight="1" x14ac:dyDescent="0.2">
      <c r="A40" s="19" t="s">
        <v>130</v>
      </c>
      <c r="B40" s="17"/>
      <c r="C40" s="17"/>
      <c r="D40" s="17"/>
      <c r="E40" s="17"/>
      <c r="F40" s="17"/>
      <c r="G40" s="17"/>
    </row>
    <row r="41" spans="1:7" ht="22" customHeight="1" x14ac:dyDescent="0.2">
      <c r="A41" s="19" t="s">
        <v>131</v>
      </c>
      <c r="B41" s="17"/>
      <c r="C41" s="17"/>
      <c r="D41" s="17"/>
      <c r="E41" s="17"/>
      <c r="F41" s="17"/>
      <c r="G41" s="17"/>
    </row>
    <row r="42" spans="1:7" ht="18" customHeight="1" x14ac:dyDescent="0.2">
      <c r="A42" s="22" t="s">
        <v>70</v>
      </c>
      <c r="B42" s="17"/>
      <c r="C42" s="17"/>
      <c r="D42" s="17"/>
      <c r="E42" s="17"/>
      <c r="F42" s="17"/>
      <c r="G42" s="17"/>
    </row>
    <row r="43" spans="1:7" ht="32" customHeight="1" x14ac:dyDescent="0.2">
      <c r="A43" s="18" t="s">
        <v>132</v>
      </c>
      <c r="B43" s="17"/>
      <c r="C43" s="17"/>
      <c r="D43" s="17"/>
      <c r="E43" s="17"/>
      <c r="F43" s="17"/>
      <c r="G43" s="17"/>
    </row>
    <row r="44" spans="1:7" ht="35" customHeight="1" x14ac:dyDescent="0.2">
      <c r="A44" s="20" t="s">
        <v>299</v>
      </c>
      <c r="B44" s="17"/>
      <c r="C44" s="17"/>
      <c r="D44" s="17"/>
      <c r="E44" s="17"/>
      <c r="F44" s="17"/>
      <c r="G44" s="17"/>
    </row>
    <row r="45" spans="1:7" ht="18" customHeight="1" x14ac:dyDescent="0.2">
      <c r="A45" s="20"/>
      <c r="B45" s="17"/>
      <c r="C45" s="17"/>
      <c r="D45" s="17"/>
      <c r="E45" s="17"/>
      <c r="F45" s="17"/>
      <c r="G45" s="17"/>
    </row>
    <row r="46" spans="1:7" ht="18" customHeight="1" x14ac:dyDescent="0.2">
      <c r="A46" s="20"/>
      <c r="B46" s="17"/>
      <c r="C46" s="17"/>
      <c r="D46" s="17"/>
      <c r="E46" s="17"/>
      <c r="F46" s="17"/>
      <c r="G46" s="17"/>
    </row>
    <row r="47" spans="1:7" ht="18" customHeight="1" x14ac:dyDescent="0.2">
      <c r="A47" s="20"/>
      <c r="B47" s="17"/>
      <c r="C47" s="17"/>
      <c r="D47" s="17"/>
      <c r="E47" s="17"/>
      <c r="F47" s="17"/>
      <c r="G47" s="17"/>
    </row>
    <row r="49" spans="1:7" ht="32" customHeight="1" x14ac:dyDescent="0.2">
      <c r="A49" s="18" t="s">
        <v>133</v>
      </c>
      <c r="B49" s="17"/>
      <c r="C49" s="17"/>
      <c r="D49" s="17"/>
      <c r="E49" s="17"/>
      <c r="F49" s="17"/>
      <c r="G49" s="17"/>
    </row>
    <row r="50" spans="1:7" ht="51" customHeight="1" x14ac:dyDescent="0.2">
      <c r="A50" s="20" t="s">
        <v>300</v>
      </c>
      <c r="B50" s="17"/>
      <c r="C50" s="17"/>
      <c r="D50" s="17"/>
      <c r="E50" s="17"/>
      <c r="F50" s="17"/>
      <c r="G50" s="17"/>
    </row>
    <row r="51" spans="1:7" ht="18" customHeight="1" x14ac:dyDescent="0.2">
      <c r="A51" s="20"/>
      <c r="B51" s="17"/>
      <c r="C51" s="17"/>
      <c r="D51" s="17"/>
      <c r="E51" s="17"/>
      <c r="F51" s="17"/>
      <c r="G51" s="17"/>
    </row>
    <row r="52" spans="1:7" ht="18" customHeight="1" x14ac:dyDescent="0.2">
      <c r="A52" s="20"/>
      <c r="B52" s="17"/>
      <c r="C52" s="17"/>
      <c r="D52" s="17"/>
      <c r="E52" s="17"/>
      <c r="F52" s="17"/>
      <c r="G52" s="17"/>
    </row>
    <row r="53" spans="1:7" ht="18" customHeight="1" x14ac:dyDescent="0.2">
      <c r="A53" s="20"/>
      <c r="B53" s="17"/>
      <c r="C53" s="17"/>
      <c r="D53" s="17"/>
      <c r="E53" s="17"/>
      <c r="F53" s="17"/>
      <c r="G53" s="17"/>
    </row>
    <row r="55" spans="1:7" ht="32" customHeight="1" x14ac:dyDescent="0.2">
      <c r="A55" s="18" t="s">
        <v>134</v>
      </c>
      <c r="B55" s="17"/>
      <c r="C55" s="17"/>
      <c r="D55" s="17"/>
      <c r="E55" s="17"/>
      <c r="F55" s="17"/>
      <c r="G55" s="17"/>
    </row>
    <row r="56" spans="1:7" ht="46" customHeight="1" x14ac:dyDescent="0.2">
      <c r="A56" s="20" t="s">
        <v>301</v>
      </c>
      <c r="B56" s="17"/>
      <c r="C56" s="17"/>
      <c r="D56" s="17"/>
      <c r="E56" s="17"/>
      <c r="F56" s="17"/>
      <c r="G56" s="17"/>
    </row>
    <row r="57" spans="1:7" ht="18" customHeight="1" x14ac:dyDescent="0.2">
      <c r="A57" s="20"/>
      <c r="B57" s="17"/>
      <c r="C57" s="17"/>
      <c r="D57" s="17"/>
      <c r="E57" s="17"/>
      <c r="F57" s="17"/>
      <c r="G57" s="17"/>
    </row>
    <row r="58" spans="1:7" ht="18" customHeight="1" x14ac:dyDescent="0.2">
      <c r="A58" s="20"/>
      <c r="B58" s="17"/>
      <c r="C58" s="17"/>
      <c r="D58" s="17"/>
      <c r="E58" s="17"/>
      <c r="F58" s="17"/>
      <c r="G58" s="17"/>
    </row>
    <row r="59" spans="1:7" ht="18" customHeight="1" x14ac:dyDescent="0.2">
      <c r="A59" s="20"/>
      <c r="B59" s="17"/>
      <c r="C59" s="17"/>
      <c r="D59" s="17"/>
      <c r="E59" s="17"/>
      <c r="F59" s="17"/>
      <c r="G59" s="17"/>
    </row>
  </sheetData>
  <mergeCells count="26">
    <mergeCell ref="A1:G1"/>
    <mergeCell ref="A16:G16"/>
    <mergeCell ref="A41:G41"/>
    <mergeCell ref="A46:G46"/>
    <mergeCell ref="A37:G37"/>
    <mergeCell ref="A3:G3"/>
    <mergeCell ref="A42:G42"/>
    <mergeCell ref="A58:G58"/>
    <mergeCell ref="A40:G40"/>
    <mergeCell ref="A39:G39"/>
    <mergeCell ref="A59:G59"/>
    <mergeCell ref="A51:G51"/>
    <mergeCell ref="A49:G49"/>
    <mergeCell ref="A45:G45"/>
    <mergeCell ref="A56:G56"/>
    <mergeCell ref="A55:G55"/>
    <mergeCell ref="A50:G50"/>
    <mergeCell ref="A57:G57"/>
    <mergeCell ref="A47:G47"/>
    <mergeCell ref="A53:G53"/>
    <mergeCell ref="A38:G38"/>
    <mergeCell ref="A29:G29"/>
    <mergeCell ref="A52:G52"/>
    <mergeCell ref="A43:G43"/>
    <mergeCell ref="A44:G44"/>
    <mergeCell ref="A36:G3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5"/>
  <sheetViews>
    <sheetView zoomScale="198" zoomScaleNormal="198" workbookViewId="0">
      <pane ySplit="2" topLeftCell="A14" activePane="bottomLeft" state="frozen"/>
      <selection pane="bottomLeft" activeCell="B10" sqref="B10"/>
    </sheetView>
  </sheetViews>
  <sheetFormatPr baseColWidth="10" defaultColWidth="8.83203125" defaultRowHeight="15" x14ac:dyDescent="0.2"/>
  <cols>
    <col min="1" max="1" width="32" customWidth="1"/>
    <col min="2" max="4" width="14" customWidth="1"/>
    <col min="5" max="5" width="20" customWidth="1"/>
  </cols>
  <sheetData>
    <row r="1" spans="1:5" ht="20" customHeight="1" x14ac:dyDescent="0.2">
      <c r="A1" s="16" t="s">
        <v>135</v>
      </c>
      <c r="B1" s="17"/>
      <c r="C1" s="17"/>
      <c r="D1" s="17"/>
      <c r="E1" s="17"/>
    </row>
    <row r="2" spans="1:5" ht="28" customHeight="1" x14ac:dyDescent="0.2">
      <c r="A2" s="6" t="s">
        <v>14</v>
      </c>
      <c r="B2" s="6" t="s">
        <v>136</v>
      </c>
      <c r="C2" s="6" t="s">
        <v>137</v>
      </c>
      <c r="D2" s="6" t="s">
        <v>138</v>
      </c>
      <c r="E2" s="6" t="s">
        <v>78</v>
      </c>
    </row>
    <row r="3" spans="1:5" ht="20" customHeight="1" x14ac:dyDescent="0.2">
      <c r="A3" s="16" t="s">
        <v>139</v>
      </c>
      <c r="B3" s="17"/>
      <c r="C3" s="17"/>
      <c r="D3" s="17"/>
      <c r="E3" s="17"/>
    </row>
    <row r="4" spans="1:5" ht="16" customHeight="1" x14ac:dyDescent="0.2">
      <c r="A4" s="7" t="s">
        <v>140</v>
      </c>
      <c r="B4" s="26">
        <v>90000000</v>
      </c>
      <c r="C4" s="14"/>
      <c r="D4" s="13" t="s">
        <v>33</v>
      </c>
      <c r="E4" s="7"/>
    </row>
    <row r="5" spans="1:5" ht="16" customHeight="1" x14ac:dyDescent="0.2">
      <c r="A5" s="7" t="s">
        <v>141</v>
      </c>
      <c r="B5" s="26">
        <v>22500000</v>
      </c>
      <c r="C5" s="14"/>
      <c r="D5" s="13" t="s">
        <v>33</v>
      </c>
      <c r="E5" s="7"/>
    </row>
    <row r="6" spans="1:5" ht="16" customHeight="1" x14ac:dyDescent="0.2">
      <c r="A6" s="7" t="s">
        <v>142</v>
      </c>
      <c r="B6" s="26">
        <v>8400000</v>
      </c>
      <c r="C6" s="14"/>
      <c r="D6" s="13" t="s">
        <v>33</v>
      </c>
      <c r="E6" s="7" t="s">
        <v>143</v>
      </c>
    </row>
    <row r="7" spans="1:5" ht="16" customHeight="1" x14ac:dyDescent="0.2">
      <c r="A7" s="7" t="s">
        <v>144</v>
      </c>
      <c r="B7" s="26">
        <v>3200000</v>
      </c>
      <c r="C7" s="14"/>
      <c r="D7" s="13" t="s">
        <v>33</v>
      </c>
      <c r="E7" s="7" t="s">
        <v>145</v>
      </c>
    </row>
    <row r="8" spans="1:5" ht="16" customHeight="1" x14ac:dyDescent="0.2">
      <c r="A8" s="7" t="s">
        <v>146</v>
      </c>
      <c r="B8" s="26">
        <v>4100000</v>
      </c>
      <c r="C8" s="14"/>
      <c r="D8" s="13" t="s">
        <v>33</v>
      </c>
      <c r="E8" s="7" t="s">
        <v>147</v>
      </c>
    </row>
    <row r="9" spans="1:5" ht="16" customHeight="1" x14ac:dyDescent="0.2">
      <c r="A9" s="7" t="s">
        <v>148</v>
      </c>
      <c r="B9" s="26">
        <f>B4/365</f>
        <v>246575.34246575343</v>
      </c>
      <c r="C9" s="14"/>
      <c r="D9" s="13" t="s">
        <v>33</v>
      </c>
      <c r="E9" s="7" t="e">
        <f>Annual Revenue / 365</f>
        <v>#NAME?</v>
      </c>
    </row>
    <row r="10" spans="1:5" ht="16" customHeight="1" x14ac:dyDescent="0.2">
      <c r="A10" s="7" t="s">
        <v>149</v>
      </c>
      <c r="B10" s="26">
        <f>B5/365</f>
        <v>61643.835616438359</v>
      </c>
      <c r="C10" s="14"/>
      <c r="D10" s="13" t="s">
        <v>33</v>
      </c>
      <c r="E10" s="7" t="e">
        <f>Annual COGS / 365</f>
        <v>#NAME?</v>
      </c>
    </row>
    <row r="12" spans="1:5" ht="20" customHeight="1" x14ac:dyDescent="0.2">
      <c r="A12" s="16" t="s">
        <v>150</v>
      </c>
      <c r="B12" s="17"/>
      <c r="C12" s="17"/>
      <c r="D12" s="17"/>
      <c r="E12" s="17"/>
    </row>
    <row r="13" spans="1:5" ht="28" customHeight="1" x14ac:dyDescent="0.2">
      <c r="A13" s="11" t="s">
        <v>14</v>
      </c>
      <c r="B13" s="11" t="s">
        <v>151</v>
      </c>
      <c r="C13" s="11" t="s">
        <v>137</v>
      </c>
      <c r="D13" s="11" t="s">
        <v>152</v>
      </c>
      <c r="E13" s="11" t="s">
        <v>153</v>
      </c>
    </row>
    <row r="14" spans="1:5" ht="36" customHeight="1" x14ac:dyDescent="0.2">
      <c r="A14" s="15" t="s">
        <v>154</v>
      </c>
      <c r="B14" s="7" t="e">
        <f>Avg Inventory / Avg Daily COGS</f>
        <v>#NAME?</v>
      </c>
      <c r="C14" s="12" t="s">
        <v>155</v>
      </c>
      <c r="D14" s="23">
        <f>B6/B10</f>
        <v>136.26666666666665</v>
      </c>
      <c r="E14" s="12" t="s">
        <v>156</v>
      </c>
    </row>
    <row r="15" spans="1:5" ht="36" customHeight="1" x14ac:dyDescent="0.2">
      <c r="A15" s="15" t="s">
        <v>157</v>
      </c>
      <c r="B15" s="7" t="e">
        <f>Accounts Receivable / Avg Daily Revenue</f>
        <v>#NAME?</v>
      </c>
      <c r="C15" s="12" t="s">
        <v>158</v>
      </c>
      <c r="D15" s="23">
        <f>B7/B9</f>
        <v>12.977777777777778</v>
      </c>
      <c r="E15" s="12" t="s">
        <v>159</v>
      </c>
    </row>
    <row r="16" spans="1:5" ht="55" customHeight="1" x14ac:dyDescent="0.2">
      <c r="A16" s="15" t="s">
        <v>160</v>
      </c>
      <c r="B16" s="7" t="e">
        <f>Accounts Payable / Avg Daily COGS</f>
        <v>#NAME?</v>
      </c>
      <c r="C16" s="12" t="s">
        <v>161</v>
      </c>
      <c r="D16" s="23">
        <f>B8/B10</f>
        <v>66.511111111111106</v>
      </c>
      <c r="E16" s="12" t="s">
        <v>162</v>
      </c>
    </row>
    <row r="17" spans="1:5" ht="36" customHeight="1" x14ac:dyDescent="0.2">
      <c r="A17" s="15" t="s">
        <v>163</v>
      </c>
      <c r="B17" s="7"/>
      <c r="C17" s="12" t="s">
        <v>164</v>
      </c>
      <c r="D17" s="23">
        <f>D14+D15-D16</f>
        <v>82.733333333333334</v>
      </c>
      <c r="E17" s="12" t="s">
        <v>165</v>
      </c>
    </row>
    <row r="19" spans="1:5" ht="20" customHeight="1" x14ac:dyDescent="0.2">
      <c r="A19" s="16" t="s">
        <v>166</v>
      </c>
      <c r="B19" s="17"/>
      <c r="C19" s="17"/>
      <c r="D19" s="17"/>
      <c r="E19" s="17"/>
    </row>
    <row r="20" spans="1:5" ht="20" customHeight="1" x14ac:dyDescent="0.2">
      <c r="A20" s="11" t="s">
        <v>14</v>
      </c>
      <c r="B20" s="11" t="s">
        <v>167</v>
      </c>
      <c r="C20" s="11" t="s">
        <v>168</v>
      </c>
      <c r="D20" s="11" t="s">
        <v>169</v>
      </c>
      <c r="E20" s="11" t="s">
        <v>78</v>
      </c>
    </row>
    <row r="21" spans="1:5" ht="16" customHeight="1" x14ac:dyDescent="0.2">
      <c r="A21" s="7" t="s">
        <v>170</v>
      </c>
      <c r="B21" s="26">
        <v>90000000</v>
      </c>
      <c r="C21" s="26">
        <v>155000000</v>
      </c>
      <c r="D21" s="30">
        <f>(C21-B21)/B21</f>
        <v>0.72222222222222221</v>
      </c>
      <c r="E21" s="7" t="s">
        <v>171</v>
      </c>
    </row>
    <row r="22" spans="1:5" ht="16" customHeight="1" x14ac:dyDescent="0.2">
      <c r="A22" s="7" t="s">
        <v>172</v>
      </c>
      <c r="B22" s="26">
        <v>22500000</v>
      </c>
      <c r="C22" s="26">
        <v>38800000</v>
      </c>
      <c r="D22" s="30">
        <f t="shared" ref="D22:D25" si="0">(C22-B22)/B22</f>
        <v>0.72444444444444445</v>
      </c>
      <c r="E22" s="7" t="s">
        <v>173</v>
      </c>
    </row>
    <row r="23" spans="1:5" ht="16" customHeight="1" x14ac:dyDescent="0.2">
      <c r="A23" s="7" t="s">
        <v>174</v>
      </c>
      <c r="B23" s="26">
        <v>8400000</v>
      </c>
      <c r="C23" s="26">
        <v>14500000</v>
      </c>
      <c r="D23" s="30">
        <f t="shared" si="0"/>
        <v>0.72619047619047616</v>
      </c>
      <c r="E23" s="7" t="s">
        <v>175</v>
      </c>
    </row>
    <row r="24" spans="1:5" ht="16" customHeight="1" x14ac:dyDescent="0.2">
      <c r="A24" s="7" t="s">
        <v>176</v>
      </c>
      <c r="B24" s="26">
        <v>3200000</v>
      </c>
      <c r="C24" s="26">
        <v>5500000</v>
      </c>
      <c r="D24" s="30">
        <f t="shared" si="0"/>
        <v>0.71875</v>
      </c>
      <c r="E24" s="7" t="s">
        <v>177</v>
      </c>
    </row>
    <row r="25" spans="1:5" ht="16" customHeight="1" x14ac:dyDescent="0.2">
      <c r="A25" s="7" t="s">
        <v>178</v>
      </c>
      <c r="B25" s="26">
        <v>4100000</v>
      </c>
      <c r="C25" s="26">
        <v>7000000</v>
      </c>
      <c r="D25" s="30">
        <f t="shared" si="0"/>
        <v>0.70731707317073167</v>
      </c>
      <c r="E25" s="7" t="s">
        <v>179</v>
      </c>
    </row>
    <row r="27" spans="1:5" ht="20" customHeight="1" x14ac:dyDescent="0.2">
      <c r="A27" s="11" t="s">
        <v>59</v>
      </c>
      <c r="B27" s="11" t="s">
        <v>180</v>
      </c>
      <c r="C27" s="11" t="s">
        <v>181</v>
      </c>
      <c r="D27" s="11" t="s">
        <v>182</v>
      </c>
      <c r="E27" s="11" t="s">
        <v>183</v>
      </c>
    </row>
    <row r="28" spans="1:5" ht="36" customHeight="1" x14ac:dyDescent="0.2">
      <c r="A28" s="12" t="s">
        <v>184</v>
      </c>
      <c r="B28" s="26">
        <v>7500000</v>
      </c>
      <c r="C28" s="32">
        <f>C23+C24-C25</f>
        <v>13000000</v>
      </c>
      <c r="D28" s="28">
        <f>(C28-B28)/B28</f>
        <v>0.73333333333333328</v>
      </c>
      <c r="E28" s="7" t="s">
        <v>302</v>
      </c>
    </row>
    <row r="29" spans="1:5" ht="36" customHeight="1" x14ac:dyDescent="0.2">
      <c r="A29" s="12" t="s">
        <v>185</v>
      </c>
      <c r="B29" s="10"/>
      <c r="C29" s="32">
        <f>C28-B28</f>
        <v>5500000</v>
      </c>
      <c r="D29" s="13" t="s">
        <v>33</v>
      </c>
      <c r="E29" s="7" t="s">
        <v>302</v>
      </c>
    </row>
    <row r="31" spans="1:5" ht="20" customHeight="1" x14ac:dyDescent="0.2">
      <c r="A31" s="16" t="s">
        <v>64</v>
      </c>
      <c r="B31" s="17"/>
      <c r="C31" s="17"/>
      <c r="D31" s="17"/>
      <c r="E31" s="17"/>
    </row>
    <row r="32" spans="1:5" ht="22" customHeight="1" x14ac:dyDescent="0.2">
      <c r="A32" s="19" t="s">
        <v>186</v>
      </c>
      <c r="B32" s="17"/>
      <c r="C32" s="17"/>
      <c r="D32" s="17"/>
      <c r="E32" s="17"/>
    </row>
    <row r="33" spans="1:5" ht="22" customHeight="1" x14ac:dyDescent="0.2">
      <c r="A33" s="19" t="s">
        <v>187</v>
      </c>
      <c r="B33" s="17"/>
      <c r="C33" s="17"/>
      <c r="D33" s="17"/>
      <c r="E33" s="17"/>
    </row>
    <row r="34" spans="1:5" ht="22" customHeight="1" x14ac:dyDescent="0.2">
      <c r="A34" s="19" t="s">
        <v>188</v>
      </c>
      <c r="B34" s="17"/>
      <c r="C34" s="17"/>
      <c r="D34" s="17"/>
      <c r="E34" s="17"/>
    </row>
    <row r="35" spans="1:5" ht="22" customHeight="1" x14ac:dyDescent="0.2">
      <c r="A35" s="19" t="s">
        <v>189</v>
      </c>
      <c r="B35" s="17"/>
      <c r="C35" s="17"/>
      <c r="D35" s="17"/>
      <c r="E35" s="17"/>
    </row>
    <row r="36" spans="1:5" ht="22" customHeight="1" x14ac:dyDescent="0.2">
      <c r="A36" s="19" t="s">
        <v>190</v>
      </c>
      <c r="B36" s="17"/>
      <c r="C36" s="17"/>
      <c r="D36" s="17"/>
      <c r="E36" s="17"/>
    </row>
    <row r="37" spans="1:5" ht="22" customHeight="1" x14ac:dyDescent="0.2">
      <c r="A37" s="19" t="s">
        <v>191</v>
      </c>
      <c r="B37" s="17"/>
      <c r="C37" s="17"/>
      <c r="D37" s="17"/>
      <c r="E37" s="17"/>
    </row>
    <row r="38" spans="1:5" ht="18" customHeight="1" x14ac:dyDescent="0.2">
      <c r="A38" s="22" t="s">
        <v>70</v>
      </c>
      <c r="B38" s="17"/>
      <c r="C38" s="17"/>
      <c r="D38" s="17"/>
      <c r="E38" s="17"/>
    </row>
    <row r="39" spans="1:5" ht="32" customHeight="1" x14ac:dyDescent="0.2">
      <c r="A39" s="18" t="s">
        <v>192</v>
      </c>
      <c r="B39" s="17"/>
      <c r="C39" s="17"/>
      <c r="D39" s="17"/>
      <c r="E39" s="17"/>
    </row>
    <row r="40" spans="1:5" ht="39" customHeight="1" x14ac:dyDescent="0.2">
      <c r="A40" s="20" t="s">
        <v>303</v>
      </c>
      <c r="B40" s="17"/>
      <c r="C40" s="17"/>
      <c r="D40" s="17"/>
      <c r="E40" s="17"/>
    </row>
    <row r="41" spans="1:5" ht="18" customHeight="1" x14ac:dyDescent="0.2">
      <c r="A41" s="20"/>
      <c r="B41" s="17"/>
      <c r="C41" s="17"/>
      <c r="D41" s="17"/>
      <c r="E41" s="17"/>
    </row>
    <row r="42" spans="1:5" ht="18" customHeight="1" x14ac:dyDescent="0.2">
      <c r="A42" s="20"/>
      <c r="B42" s="17"/>
      <c r="C42" s="17"/>
      <c r="D42" s="17"/>
      <c r="E42" s="17"/>
    </row>
    <row r="43" spans="1:5" ht="18" customHeight="1" x14ac:dyDescent="0.2">
      <c r="A43" s="20"/>
      <c r="B43" s="17"/>
      <c r="C43" s="17"/>
      <c r="D43" s="17"/>
      <c r="E43" s="17"/>
    </row>
    <row r="45" spans="1:5" ht="32" customHeight="1" x14ac:dyDescent="0.2">
      <c r="A45" s="18" t="s">
        <v>193</v>
      </c>
      <c r="B45" s="17"/>
      <c r="C45" s="17"/>
      <c r="D45" s="17"/>
      <c r="E45" s="17"/>
    </row>
    <row r="46" spans="1:5" ht="18" customHeight="1" x14ac:dyDescent="0.2">
      <c r="A46" s="20" t="s">
        <v>304</v>
      </c>
      <c r="B46" s="17"/>
      <c r="C46" s="17"/>
      <c r="D46" s="17"/>
      <c r="E46" s="17"/>
    </row>
    <row r="47" spans="1:5" ht="18" customHeight="1" x14ac:dyDescent="0.2">
      <c r="A47" s="20"/>
      <c r="B47" s="17"/>
      <c r="C47" s="17"/>
      <c r="D47" s="17"/>
      <c r="E47" s="17"/>
    </row>
    <row r="48" spans="1:5" ht="18" customHeight="1" x14ac:dyDescent="0.2">
      <c r="A48" s="20"/>
      <c r="B48" s="17"/>
      <c r="C48" s="17"/>
      <c r="D48" s="17"/>
      <c r="E48" s="17"/>
    </row>
    <row r="49" spans="1:5" ht="18" customHeight="1" x14ac:dyDescent="0.2">
      <c r="A49" s="20"/>
      <c r="B49" s="17"/>
      <c r="C49" s="17"/>
      <c r="D49" s="17"/>
      <c r="E49" s="17"/>
    </row>
    <row r="51" spans="1:5" ht="32" customHeight="1" x14ac:dyDescent="0.2">
      <c r="A51" s="18" t="s">
        <v>194</v>
      </c>
      <c r="B51" s="17"/>
      <c r="C51" s="17"/>
      <c r="D51" s="17"/>
      <c r="E51" s="17"/>
    </row>
    <row r="52" spans="1:5" ht="60" customHeight="1" x14ac:dyDescent="0.2">
      <c r="A52" s="20" t="s">
        <v>305</v>
      </c>
      <c r="B52" s="17"/>
      <c r="C52" s="17"/>
      <c r="D52" s="17"/>
      <c r="E52" s="17"/>
    </row>
    <row r="53" spans="1:5" ht="18" customHeight="1" x14ac:dyDescent="0.2">
      <c r="A53" s="20" t="s">
        <v>305</v>
      </c>
      <c r="B53" s="17"/>
      <c r="C53" s="17"/>
      <c r="D53" s="17"/>
      <c r="E53" s="17"/>
    </row>
    <row r="54" spans="1:5" ht="18" customHeight="1" x14ac:dyDescent="0.2">
      <c r="A54" s="20"/>
      <c r="B54" s="17"/>
      <c r="C54" s="17"/>
      <c r="D54" s="17"/>
      <c r="E54" s="17"/>
    </row>
    <row r="55" spans="1:5" ht="18" customHeight="1" x14ac:dyDescent="0.2">
      <c r="A55" s="20"/>
      <c r="B55" s="17"/>
      <c r="C55" s="17"/>
      <c r="D55" s="17"/>
      <c r="E55" s="17"/>
    </row>
  </sheetData>
  <mergeCells count="27">
    <mergeCell ref="A55:E55"/>
    <mergeCell ref="A12:E12"/>
    <mergeCell ref="A42:E42"/>
    <mergeCell ref="A33:E33"/>
    <mergeCell ref="A47:E47"/>
    <mergeCell ref="A32:E32"/>
    <mergeCell ref="A53:E53"/>
    <mergeCell ref="A35:E35"/>
    <mergeCell ref="A43:E43"/>
    <mergeCell ref="A38:E38"/>
    <mergeCell ref="A52:E52"/>
    <mergeCell ref="A19:E19"/>
    <mergeCell ref="A31:E31"/>
    <mergeCell ref="A40:E40"/>
    <mergeCell ref="A1:E1"/>
    <mergeCell ref="A45:E45"/>
    <mergeCell ref="A36:E36"/>
    <mergeCell ref="A54:E54"/>
    <mergeCell ref="A41:E41"/>
    <mergeCell ref="A37:E37"/>
    <mergeCell ref="A46:E46"/>
    <mergeCell ref="A3:E3"/>
    <mergeCell ref="A39:E39"/>
    <mergeCell ref="A34:E34"/>
    <mergeCell ref="A48:E48"/>
    <mergeCell ref="A49:E49"/>
    <mergeCell ref="A51:E5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9"/>
  <sheetViews>
    <sheetView tabSelected="1" zoomScale="216" zoomScaleNormal="216" workbookViewId="0">
      <pane ySplit="2" topLeftCell="A53" activePane="bottomLeft" state="frozen"/>
      <selection pane="bottomLeft" activeCell="C43" sqref="C43"/>
    </sheetView>
  </sheetViews>
  <sheetFormatPr baseColWidth="10" defaultColWidth="8.83203125" defaultRowHeight="15" x14ac:dyDescent="0.2"/>
  <cols>
    <col min="1" max="1" width="32" customWidth="1"/>
    <col min="2" max="4" width="14" customWidth="1"/>
    <col min="5" max="5" width="22" customWidth="1"/>
    <col min="10" max="10" width="12.1640625" bestFit="1" customWidth="1"/>
  </cols>
  <sheetData>
    <row r="1" spans="1:5" ht="20" customHeight="1" x14ac:dyDescent="0.2">
      <c r="A1" s="16" t="s">
        <v>195</v>
      </c>
      <c r="B1" s="17"/>
      <c r="C1" s="17"/>
      <c r="D1" s="17"/>
      <c r="E1" s="17"/>
    </row>
    <row r="2" spans="1:5" ht="16" customHeight="1" x14ac:dyDescent="0.2">
      <c r="A2" s="6" t="s">
        <v>196</v>
      </c>
      <c r="B2" s="6" t="s">
        <v>197</v>
      </c>
      <c r="C2" s="6" t="s">
        <v>198</v>
      </c>
      <c r="D2" s="6" t="s">
        <v>199</v>
      </c>
      <c r="E2" s="6" t="s">
        <v>200</v>
      </c>
    </row>
    <row r="3" spans="1:5" ht="20" customHeight="1" x14ac:dyDescent="0.2">
      <c r="A3" s="16" t="s">
        <v>201</v>
      </c>
      <c r="B3" s="17"/>
      <c r="C3" s="17"/>
      <c r="D3" s="17"/>
      <c r="E3" s="17"/>
    </row>
    <row r="4" spans="1:5" ht="20" customHeight="1" x14ac:dyDescent="0.2">
      <c r="A4" s="7" t="s">
        <v>202</v>
      </c>
      <c r="B4" s="14" t="s">
        <v>203</v>
      </c>
      <c r="C4" s="14" t="s">
        <v>203</v>
      </c>
      <c r="D4" s="14" t="s">
        <v>203</v>
      </c>
      <c r="E4" s="12" t="s">
        <v>204</v>
      </c>
    </row>
    <row r="5" spans="1:5" ht="20" customHeight="1" x14ac:dyDescent="0.2">
      <c r="A5" s="7" t="s">
        <v>205</v>
      </c>
      <c r="B5" s="14" t="s">
        <v>206</v>
      </c>
      <c r="C5" s="14" t="s">
        <v>206</v>
      </c>
      <c r="D5" s="14" t="s">
        <v>206</v>
      </c>
      <c r="E5" s="12" t="s">
        <v>207</v>
      </c>
    </row>
    <row r="6" spans="1:5" ht="57" customHeight="1" x14ac:dyDescent="0.2">
      <c r="A6" s="7" t="s">
        <v>208</v>
      </c>
      <c r="B6" s="14" t="s">
        <v>209</v>
      </c>
      <c r="C6" s="14" t="s">
        <v>210</v>
      </c>
      <c r="D6" s="14" t="s">
        <v>211</v>
      </c>
      <c r="E6" s="12" t="s">
        <v>212</v>
      </c>
    </row>
    <row r="7" spans="1:5" ht="57" customHeight="1" x14ac:dyDescent="0.2">
      <c r="A7" s="7" t="s">
        <v>213</v>
      </c>
      <c r="B7" s="14" t="s">
        <v>214</v>
      </c>
      <c r="C7" s="14" t="s">
        <v>215</v>
      </c>
      <c r="D7" s="14" t="s">
        <v>216</v>
      </c>
      <c r="E7" s="12" t="s">
        <v>217</v>
      </c>
    </row>
    <row r="8" spans="1:5" ht="38" customHeight="1" x14ac:dyDescent="0.2">
      <c r="A8" s="7" t="s">
        <v>218</v>
      </c>
      <c r="B8" s="14" t="s">
        <v>45</v>
      </c>
      <c r="C8" s="14" t="s">
        <v>219</v>
      </c>
      <c r="D8" s="14" t="s">
        <v>40</v>
      </c>
      <c r="E8" s="12" t="s">
        <v>220</v>
      </c>
    </row>
    <row r="9" spans="1:5" ht="20" customHeight="1" x14ac:dyDescent="0.2">
      <c r="A9" s="7" t="s">
        <v>221</v>
      </c>
      <c r="B9" s="14" t="s">
        <v>222</v>
      </c>
      <c r="C9" s="14" t="s">
        <v>223</v>
      </c>
      <c r="D9" s="14" t="s">
        <v>46</v>
      </c>
      <c r="E9" s="12"/>
    </row>
    <row r="10" spans="1:5" ht="20" customHeight="1" x14ac:dyDescent="0.2">
      <c r="A10" s="7" t="s">
        <v>224</v>
      </c>
      <c r="B10" s="14" t="s">
        <v>225</v>
      </c>
      <c r="C10" s="14" t="s">
        <v>226</v>
      </c>
      <c r="D10" s="14" t="s">
        <v>227</v>
      </c>
      <c r="E10" s="12" t="s">
        <v>228</v>
      </c>
    </row>
    <row r="11" spans="1:5" ht="20" customHeight="1" x14ac:dyDescent="0.2">
      <c r="A11" s="7" t="s">
        <v>229</v>
      </c>
      <c r="B11" s="14" t="s">
        <v>46</v>
      </c>
      <c r="C11" s="14" t="s">
        <v>230</v>
      </c>
      <c r="D11" s="14" t="s">
        <v>44</v>
      </c>
      <c r="E11" s="12"/>
    </row>
    <row r="12" spans="1:5" ht="20" customHeight="1" x14ac:dyDescent="0.2">
      <c r="A12" s="7" t="s">
        <v>231</v>
      </c>
      <c r="B12" s="14" t="s">
        <v>232</v>
      </c>
      <c r="C12" s="14" t="s">
        <v>232</v>
      </c>
      <c r="D12" s="14" t="s">
        <v>232</v>
      </c>
      <c r="E12" s="12" t="s">
        <v>233</v>
      </c>
    </row>
    <row r="13" spans="1:5" ht="20" customHeight="1" x14ac:dyDescent="0.2">
      <c r="A13" s="7" t="s">
        <v>234</v>
      </c>
      <c r="B13" s="14" t="s">
        <v>230</v>
      </c>
      <c r="C13" s="14" t="s">
        <v>230</v>
      </c>
      <c r="D13" s="14" t="s">
        <v>230</v>
      </c>
      <c r="E13" s="12" t="s">
        <v>235</v>
      </c>
    </row>
    <row r="15" spans="1:5" ht="20" customHeight="1" x14ac:dyDescent="0.2">
      <c r="A15" s="16" t="s">
        <v>236</v>
      </c>
      <c r="B15" s="17"/>
      <c r="C15" s="17"/>
      <c r="D15" s="17"/>
      <c r="E15" s="17"/>
    </row>
    <row r="16" spans="1:5" ht="22" customHeight="1" x14ac:dyDescent="0.2">
      <c r="A16" s="12" t="s">
        <v>237</v>
      </c>
      <c r="B16" s="14" t="s">
        <v>238</v>
      </c>
      <c r="C16" s="14" t="s">
        <v>238</v>
      </c>
      <c r="D16" s="14" t="s">
        <v>238</v>
      </c>
      <c r="E16" s="12" t="s">
        <v>239</v>
      </c>
    </row>
    <row r="17" spans="1:9" ht="22" customHeight="1" x14ac:dyDescent="0.2">
      <c r="A17" s="12" t="s">
        <v>240</v>
      </c>
      <c r="B17" s="14" t="s">
        <v>241</v>
      </c>
      <c r="C17" s="14" t="s">
        <v>241</v>
      </c>
      <c r="D17" s="14" t="s">
        <v>241</v>
      </c>
      <c r="E17" s="12"/>
    </row>
    <row r="18" spans="1:9" ht="22" customHeight="1" x14ac:dyDescent="0.2">
      <c r="A18" s="12" t="s">
        <v>242</v>
      </c>
      <c r="B18" s="14" t="s">
        <v>243</v>
      </c>
      <c r="C18" s="14" t="s">
        <v>244</v>
      </c>
      <c r="D18" s="14" t="s">
        <v>245</v>
      </c>
      <c r="E18" s="12" t="s">
        <v>246</v>
      </c>
    </row>
    <row r="19" spans="1:9" ht="22" customHeight="1" x14ac:dyDescent="0.2">
      <c r="A19" s="12" t="s">
        <v>247</v>
      </c>
      <c r="B19" s="14" t="s">
        <v>248</v>
      </c>
      <c r="C19" s="14" t="s">
        <v>249</v>
      </c>
      <c r="D19" s="14" t="s">
        <v>250</v>
      </c>
      <c r="E19" s="12"/>
    </row>
    <row r="20" spans="1:9" ht="22" customHeight="1" x14ac:dyDescent="0.2">
      <c r="A20" s="12" t="s">
        <v>251</v>
      </c>
      <c r="B20" s="14" t="s">
        <v>252</v>
      </c>
      <c r="C20" s="14" t="s">
        <v>253</v>
      </c>
      <c r="D20" s="14" t="s">
        <v>254</v>
      </c>
      <c r="E20" s="12"/>
    </row>
    <row r="21" spans="1:9" ht="22" customHeight="1" x14ac:dyDescent="0.2">
      <c r="A21" s="12" t="s">
        <v>255</v>
      </c>
      <c r="B21" s="14" t="s">
        <v>256</v>
      </c>
      <c r="C21" s="14" t="s">
        <v>257</v>
      </c>
      <c r="D21" s="14" t="s">
        <v>258</v>
      </c>
      <c r="E21" s="12"/>
    </row>
    <row r="22" spans="1:9" ht="22" customHeight="1" x14ac:dyDescent="0.2">
      <c r="A22" s="12" t="s">
        <v>259</v>
      </c>
      <c r="B22" s="14" t="s">
        <v>260</v>
      </c>
      <c r="C22" s="14" t="s">
        <v>261</v>
      </c>
      <c r="D22" s="14" t="s">
        <v>248</v>
      </c>
      <c r="E22" s="12"/>
    </row>
    <row r="24" spans="1:9" ht="20" customHeight="1" x14ac:dyDescent="0.2">
      <c r="A24" s="16" t="s">
        <v>262</v>
      </c>
      <c r="B24" s="17"/>
      <c r="C24" s="17"/>
      <c r="D24" s="17"/>
      <c r="E24" s="17"/>
    </row>
    <row r="25" spans="1:9" ht="20" customHeight="1" x14ac:dyDescent="0.2">
      <c r="A25" s="11" t="s">
        <v>263</v>
      </c>
      <c r="B25" s="11" t="s">
        <v>197</v>
      </c>
      <c r="C25" s="11" t="s">
        <v>198</v>
      </c>
      <c r="D25" s="11" t="s">
        <v>199</v>
      </c>
      <c r="E25" s="11" t="s">
        <v>78</v>
      </c>
    </row>
    <row r="26" spans="1:9" ht="28" customHeight="1" x14ac:dyDescent="0.2">
      <c r="A26" s="12" t="s">
        <v>264</v>
      </c>
      <c r="B26" s="25">
        <f>B4*B19</f>
        <v>3391500</v>
      </c>
      <c r="C26" s="25">
        <f t="shared" ref="C26:D26" si="0">C4*C19</f>
        <v>4788000</v>
      </c>
      <c r="D26" s="25">
        <f t="shared" si="0"/>
        <v>2194500</v>
      </c>
      <c r="E26" s="9"/>
    </row>
    <row r="27" spans="1:9" ht="28" customHeight="1" x14ac:dyDescent="0.2">
      <c r="A27" s="12" t="s">
        <v>265</v>
      </c>
      <c r="B27" s="25">
        <f>B5*B20</f>
        <v>2333500</v>
      </c>
      <c r="C27" s="25">
        <f t="shared" ref="C27:D27" si="1">C5*C20</f>
        <v>3231000</v>
      </c>
      <c r="D27" s="25">
        <f t="shared" si="1"/>
        <v>1436000</v>
      </c>
      <c r="E27" s="9"/>
    </row>
    <row r="28" spans="1:9" ht="28" customHeight="1" x14ac:dyDescent="0.2">
      <c r="A28" s="12" t="s">
        <v>266</v>
      </c>
      <c r="B28" s="32">
        <f>B26*B8</f>
        <v>305235</v>
      </c>
      <c r="C28" s="32">
        <f t="shared" ref="C28:D28" si="2">C26*C8</f>
        <v>335160.00000000006</v>
      </c>
      <c r="D28" s="32">
        <f t="shared" si="2"/>
        <v>307230.00000000006</v>
      </c>
      <c r="E28" s="9"/>
    </row>
    <row r="29" spans="1:9" ht="28" customHeight="1" x14ac:dyDescent="0.2">
      <c r="A29" s="12" t="s">
        <v>267</v>
      </c>
      <c r="B29" s="32">
        <f>B27*B9</f>
        <v>303355</v>
      </c>
      <c r="C29" s="32">
        <f t="shared" ref="C29:D29" si="3">C27*C9</f>
        <v>323100</v>
      </c>
      <c r="D29" s="32">
        <f t="shared" si="3"/>
        <v>258480</v>
      </c>
      <c r="E29" s="9"/>
    </row>
    <row r="30" spans="1:9" ht="28" customHeight="1" x14ac:dyDescent="0.2">
      <c r="A30" s="12" t="s">
        <v>268</v>
      </c>
      <c r="B30" s="32">
        <f>B26+B27-B28-B29</f>
        <v>5116410</v>
      </c>
      <c r="C30" s="32">
        <f t="shared" ref="C30:D30" si="4">C26+C27-C28-C29</f>
        <v>7360740</v>
      </c>
      <c r="D30" s="32">
        <f t="shared" si="4"/>
        <v>3064790</v>
      </c>
      <c r="E30" s="9"/>
      <c r="F30" s="40">
        <f>B30/B$30</f>
        <v>1</v>
      </c>
      <c r="G30" s="40">
        <f>C30/C$30</f>
        <v>1</v>
      </c>
      <c r="H30" s="40">
        <f>D30/D$30</f>
        <v>1</v>
      </c>
    </row>
    <row r="31" spans="1:9" ht="28" customHeight="1" x14ac:dyDescent="0.2">
      <c r="A31" s="12" t="s">
        <v>269</v>
      </c>
      <c r="B31" s="25">
        <f>B19*(1-B8)*B6</f>
        <v>1098370</v>
      </c>
      <c r="C31" s="25">
        <f t="shared" ref="C31:D31" si="5">C19*(1-C8)*C6</f>
        <v>1428480</v>
      </c>
      <c r="D31" s="25">
        <f t="shared" si="5"/>
        <v>747340</v>
      </c>
      <c r="E31" s="9"/>
      <c r="F31" s="40">
        <f t="shared" ref="F31:F41" si="6">B31/B$30</f>
        <v>0.21467591533907565</v>
      </c>
      <c r="G31" s="40">
        <f t="shared" ref="G31:G41" si="7">C31/C$30</f>
        <v>0.19406744430587142</v>
      </c>
      <c r="H31" s="40">
        <f t="shared" ref="H31:H41" si="8">D31/D$30</f>
        <v>0.24384704987943709</v>
      </c>
      <c r="I31" s="41">
        <f>H31-F31</f>
        <v>2.9171134540361437E-2</v>
      </c>
    </row>
    <row r="32" spans="1:9" ht="28" customHeight="1" x14ac:dyDescent="0.2">
      <c r="A32" s="12" t="s">
        <v>270</v>
      </c>
      <c r="B32" s="25">
        <f>B20*(1-B9)*B6</f>
        <v>803010</v>
      </c>
      <c r="C32" s="25">
        <f t="shared" ref="C32:D32" si="9">C20*(1-C9)*C6</f>
        <v>1036800</v>
      </c>
      <c r="D32" s="25">
        <f t="shared" si="9"/>
        <v>518240.00000000006</v>
      </c>
      <c r="E32" s="9"/>
      <c r="F32" s="40">
        <f t="shared" si="6"/>
        <v>0.15694793810503849</v>
      </c>
      <c r="G32" s="40">
        <f t="shared" si="7"/>
        <v>0.14085540312522926</v>
      </c>
      <c r="H32" s="40">
        <f t="shared" si="8"/>
        <v>0.1690947830030769</v>
      </c>
      <c r="I32" s="41">
        <f t="shared" ref="I32:I41" si="10">H32-F32</f>
        <v>1.2146844898038411E-2</v>
      </c>
    </row>
    <row r="33" spans="1:10" ht="28" customHeight="1" x14ac:dyDescent="0.2">
      <c r="A33" s="12" t="s">
        <v>271</v>
      </c>
      <c r="B33" s="25">
        <f>B30-B31-B32</f>
        <v>3215030</v>
      </c>
      <c r="C33" s="25">
        <f t="shared" ref="C33:D33" si="11">C30-C31-C32</f>
        <v>4895460</v>
      </c>
      <c r="D33" s="25">
        <f t="shared" si="11"/>
        <v>1799210</v>
      </c>
      <c r="E33" s="9"/>
      <c r="F33" s="40">
        <f t="shared" si="6"/>
        <v>0.62837614655588592</v>
      </c>
      <c r="G33" s="40">
        <f t="shared" si="7"/>
        <v>0.66507715256889932</v>
      </c>
      <c r="H33" s="40">
        <f t="shared" si="8"/>
        <v>0.58705816711748604</v>
      </c>
      <c r="I33" s="41">
        <f t="shared" si="10"/>
        <v>-4.1317979438399877E-2</v>
      </c>
    </row>
    <row r="34" spans="1:10" ht="28" customHeight="1" x14ac:dyDescent="0.2">
      <c r="A34" s="12" t="s">
        <v>272</v>
      </c>
      <c r="B34" s="36">
        <f>B33/B30</f>
        <v>0.62837614655588592</v>
      </c>
      <c r="C34" s="36">
        <f t="shared" ref="C34:D34" si="12">C33/C30</f>
        <v>0.66507715256889932</v>
      </c>
      <c r="D34" s="36">
        <f t="shared" si="12"/>
        <v>0.58705816711748604</v>
      </c>
      <c r="E34" s="9"/>
      <c r="F34" s="40">
        <f t="shared" si="6"/>
        <v>1.2281583113079012E-7</v>
      </c>
      <c r="G34" s="40">
        <f t="shared" si="7"/>
        <v>9.0354658983865661E-8</v>
      </c>
      <c r="H34" s="40">
        <f t="shared" si="8"/>
        <v>1.9154923081760449E-7</v>
      </c>
      <c r="I34" s="41">
        <f t="shared" si="10"/>
        <v>6.8733399686814365E-8</v>
      </c>
    </row>
    <row r="35" spans="1:10" ht="28" customHeight="1" x14ac:dyDescent="0.2">
      <c r="A35" s="12" t="s">
        <v>273</v>
      </c>
      <c r="B35" s="32">
        <f>(B26+B28)*B10</f>
        <v>1035085.8</v>
      </c>
      <c r="C35" s="32">
        <f t="shared" ref="C35:D35" si="13">(C26+C28)*C10</f>
        <v>1229558.3999999999</v>
      </c>
      <c r="D35" s="32">
        <f t="shared" si="13"/>
        <v>875605.5</v>
      </c>
      <c r="E35" s="9"/>
      <c r="F35" s="40">
        <f t="shared" si="6"/>
        <v>0.20230704732419802</v>
      </c>
      <c r="G35" s="40">
        <f t="shared" si="7"/>
        <v>0.16704277015626146</v>
      </c>
      <c r="H35" s="40">
        <f t="shared" si="8"/>
        <v>0.28569836758799133</v>
      </c>
      <c r="I35" s="41">
        <f t="shared" si="10"/>
        <v>8.3391320263793312E-2</v>
      </c>
      <c r="J35" s="37">
        <f>I35*D30</f>
        <v>255576.88443127112</v>
      </c>
    </row>
    <row r="36" spans="1:10" ht="28" customHeight="1" x14ac:dyDescent="0.2">
      <c r="A36" s="12" t="s">
        <v>274</v>
      </c>
      <c r="B36" s="32">
        <f>(B27+B29)*B11</f>
        <v>474633.89999999997</v>
      </c>
      <c r="C36" s="32">
        <f t="shared" ref="C36:D36" si="14">(C27+C29)*C11</f>
        <v>533115</v>
      </c>
      <c r="D36" s="32">
        <f t="shared" si="14"/>
        <v>372785.6</v>
      </c>
      <c r="E36" s="9"/>
      <c r="F36" s="40">
        <f t="shared" si="6"/>
        <v>9.276697919048707E-2</v>
      </c>
      <c r="G36" s="40">
        <f t="shared" si="7"/>
        <v>7.2426821216345097E-2</v>
      </c>
      <c r="H36" s="40">
        <f t="shared" si="8"/>
        <v>0.12163495704436518</v>
      </c>
      <c r="I36" s="41">
        <f t="shared" si="10"/>
        <v>2.886797785387811E-2</v>
      </c>
    </row>
    <row r="37" spans="1:10" ht="28" customHeight="1" x14ac:dyDescent="0.2">
      <c r="A37" s="12" t="s">
        <v>275</v>
      </c>
      <c r="B37" s="32">
        <f>(B27+B29)*0.15</f>
        <v>395528.25</v>
      </c>
      <c r="C37" s="32">
        <f t="shared" ref="C37:D37" si="15">(C27+C29)*0.15</f>
        <v>533115</v>
      </c>
      <c r="D37" s="32">
        <f t="shared" si="15"/>
        <v>254172</v>
      </c>
      <c r="E37" s="9"/>
      <c r="F37" s="40">
        <f t="shared" si="6"/>
        <v>7.7305815992072563E-2</v>
      </c>
      <c r="G37" s="40">
        <f t="shared" si="7"/>
        <v>7.2426821216345097E-2</v>
      </c>
      <c r="H37" s="40">
        <f t="shared" si="8"/>
        <v>8.2932925257521717E-2</v>
      </c>
      <c r="I37" s="41">
        <f t="shared" si="10"/>
        <v>5.6271092654491539E-3</v>
      </c>
    </row>
    <row r="38" spans="1:10" ht="28" customHeight="1" x14ac:dyDescent="0.2">
      <c r="A38" s="12" t="s">
        <v>276</v>
      </c>
      <c r="B38" s="32">
        <f>B19*(1-B8)*9.5</f>
        <v>73482.5</v>
      </c>
      <c r="C38" s="32">
        <f t="shared" ref="C38:D38" si="16">C19*(1-C8)*9.5</f>
        <v>106020</v>
      </c>
      <c r="D38" s="32">
        <f t="shared" si="16"/>
        <v>44935</v>
      </c>
      <c r="E38" s="9"/>
      <c r="F38" s="40">
        <f t="shared" si="6"/>
        <v>1.4362121096628299E-2</v>
      </c>
      <c r="G38" s="40">
        <f t="shared" si="7"/>
        <v>1.4403443132076395E-2</v>
      </c>
      <c r="H38" s="40">
        <f t="shared" si="8"/>
        <v>1.4661689707940838E-2</v>
      </c>
      <c r="I38" s="41">
        <f t="shared" si="10"/>
        <v>2.9956861131253884E-4</v>
      </c>
    </row>
    <row r="39" spans="1:10" ht="28" customHeight="1" x14ac:dyDescent="0.2">
      <c r="A39" s="12" t="s">
        <v>240</v>
      </c>
      <c r="B39" s="32" t="str">
        <f>B17</f>
        <v>$280,000</v>
      </c>
      <c r="C39" s="32" t="str">
        <f t="shared" ref="C39:D39" si="17">C17</f>
        <v>$280,000</v>
      </c>
      <c r="D39" s="32" t="str">
        <f t="shared" si="17"/>
        <v>$280,000</v>
      </c>
      <c r="E39" s="9"/>
      <c r="F39" s="40">
        <f t="shared" si="6"/>
        <v>5.4725872242451248E-2</v>
      </c>
      <c r="G39" s="40">
        <f t="shared" si="7"/>
        <v>3.803965362178259E-2</v>
      </c>
      <c r="H39" s="40">
        <f t="shared" si="8"/>
        <v>9.1360256330776338E-2</v>
      </c>
      <c r="I39" s="41">
        <f t="shared" si="10"/>
        <v>3.6634384088325089E-2</v>
      </c>
    </row>
    <row r="40" spans="1:10" ht="28" customHeight="1" x14ac:dyDescent="0.2">
      <c r="A40" s="12" t="s">
        <v>277</v>
      </c>
      <c r="B40" s="32">
        <f>B33-B35-B36-B37-B38-B39</f>
        <v>956299.55000000028</v>
      </c>
      <c r="C40" s="32">
        <f t="shared" ref="C40:D40" si="18">C33-C35-C36-C37-C38-C39</f>
        <v>2213651.6</v>
      </c>
      <c r="D40" s="32">
        <f>D33-D35-D36-D37-D38-D39</f>
        <v>-28288.099999999977</v>
      </c>
      <c r="E40" s="9"/>
      <c r="F40" s="40">
        <f t="shared" si="6"/>
        <v>0.18690831071004871</v>
      </c>
      <c r="G40" s="40">
        <f t="shared" si="7"/>
        <v>0.3007376432260887</v>
      </c>
      <c r="H40" s="40">
        <f t="shared" si="8"/>
        <v>-9.2300288111093996E-3</v>
      </c>
      <c r="I40" s="41">
        <f t="shared" si="10"/>
        <v>-0.19613833952115811</v>
      </c>
    </row>
    <row r="41" spans="1:10" ht="28" customHeight="1" x14ac:dyDescent="0.2">
      <c r="A41" s="12" t="s">
        <v>278</v>
      </c>
      <c r="B41" s="28">
        <f>B40/B30</f>
        <v>0.18690831071004871</v>
      </c>
      <c r="C41" s="28">
        <f t="shared" ref="C41:D41" si="19">C40/C30</f>
        <v>0.3007376432260887</v>
      </c>
      <c r="D41" s="28">
        <f t="shared" si="19"/>
        <v>-9.2300288111093996E-3</v>
      </c>
      <c r="E41" s="9"/>
      <c r="F41" s="40">
        <f t="shared" si="6"/>
        <v>3.6531144046323243E-8</v>
      </c>
      <c r="G41" s="40">
        <f t="shared" si="7"/>
        <v>4.0856984926255881E-8</v>
      </c>
      <c r="H41" s="40">
        <f t="shared" si="8"/>
        <v>-3.0116349932978768E-9</v>
      </c>
      <c r="I41" s="41">
        <f t="shared" si="10"/>
        <v>-3.9542779039621122E-8</v>
      </c>
    </row>
    <row r="42" spans="1:10" ht="28" customHeight="1" x14ac:dyDescent="0.2">
      <c r="A42" s="12" t="s">
        <v>279</v>
      </c>
      <c r="B42" s="38">
        <f>(B16+B17)/(B40/((B19*(1-B8)+B20*(1-B9))))</f>
        <v>20722.795488087384</v>
      </c>
      <c r="C42" s="38">
        <f t="shared" ref="C42:D42" si="20">(C16+C17)/(C40/((C19*(1-C8)+C20*(1-C9))))</f>
        <v>12876.82307369416</v>
      </c>
      <c r="D42" s="38">
        <f t="shared" si="20"/>
        <v>-419073.74479021248</v>
      </c>
      <c r="E42" s="9"/>
    </row>
    <row r="43" spans="1:10" ht="28" customHeight="1" x14ac:dyDescent="0.2">
      <c r="A43" s="12" t="s">
        <v>280</v>
      </c>
      <c r="B43" s="39">
        <f>B42/((B19+B20)/12)</f>
        <v>16.578236390469907</v>
      </c>
      <c r="C43" s="39">
        <f t="shared" ref="C43:D43" si="21">C42/((C19+C20)/12)</f>
        <v>7.3581846135395201</v>
      </c>
      <c r="D43" s="39">
        <f t="shared" si="21"/>
        <v>-529.35630920868948</v>
      </c>
      <c r="E43" s="9"/>
    </row>
    <row r="44" spans="1:10" x14ac:dyDescent="0.2">
      <c r="B44" s="37"/>
      <c r="C44" s="37"/>
    </row>
    <row r="45" spans="1:10" ht="20" customHeight="1" x14ac:dyDescent="0.2">
      <c r="A45" s="16" t="s">
        <v>64</v>
      </c>
      <c r="B45" s="17"/>
      <c r="C45" s="17"/>
      <c r="D45" s="17"/>
      <c r="E45" s="17"/>
    </row>
    <row r="46" spans="1:10" ht="22" customHeight="1" x14ac:dyDescent="0.2">
      <c r="A46" s="19" t="s">
        <v>281</v>
      </c>
      <c r="B46" s="17"/>
      <c r="C46" s="17"/>
      <c r="D46" s="17"/>
      <c r="E46" s="17"/>
    </row>
    <row r="47" spans="1:10" ht="22" customHeight="1" x14ac:dyDescent="0.2">
      <c r="A47" s="19" t="s">
        <v>282</v>
      </c>
      <c r="B47" s="17"/>
      <c r="C47" s="17"/>
      <c r="D47" s="17"/>
      <c r="E47" s="17"/>
    </row>
    <row r="48" spans="1:10" ht="22" customHeight="1" x14ac:dyDescent="0.2">
      <c r="A48" s="19" t="s">
        <v>283</v>
      </c>
      <c r="B48" s="17"/>
      <c r="C48" s="17"/>
      <c r="D48" s="17"/>
      <c r="E48" s="17"/>
    </row>
    <row r="49" spans="1:5" ht="22" customHeight="1" x14ac:dyDescent="0.2">
      <c r="A49" s="19" t="s">
        <v>284</v>
      </c>
      <c r="B49" s="17"/>
      <c r="C49" s="17"/>
      <c r="D49" s="17"/>
      <c r="E49" s="17"/>
    </row>
    <row r="50" spans="1:5" ht="22" customHeight="1" x14ac:dyDescent="0.2">
      <c r="A50" s="19" t="s">
        <v>285</v>
      </c>
      <c r="B50" s="17"/>
      <c r="C50" s="17"/>
      <c r="D50" s="17"/>
      <c r="E50" s="17"/>
    </row>
    <row r="51" spans="1:5" ht="22" customHeight="1" x14ac:dyDescent="0.2">
      <c r="A51" s="19" t="s">
        <v>286</v>
      </c>
      <c r="B51" s="17"/>
      <c r="C51" s="17"/>
      <c r="D51" s="17"/>
      <c r="E51" s="17"/>
    </row>
    <row r="52" spans="1:5" ht="18" customHeight="1" x14ac:dyDescent="0.2">
      <c r="A52" s="22" t="s">
        <v>70</v>
      </c>
      <c r="B52" s="17"/>
      <c r="C52" s="17"/>
      <c r="D52" s="17"/>
      <c r="E52" s="17"/>
    </row>
    <row r="53" spans="1:5" ht="32" customHeight="1" x14ac:dyDescent="0.2">
      <c r="A53" s="18" t="s">
        <v>287</v>
      </c>
      <c r="B53" s="17"/>
      <c r="C53" s="17"/>
      <c r="D53" s="17"/>
      <c r="E53" s="17"/>
    </row>
    <row r="54" spans="1:5" ht="18" customHeight="1" x14ac:dyDescent="0.2">
      <c r="A54" s="20" t="s">
        <v>307</v>
      </c>
      <c r="B54" s="17"/>
      <c r="C54" s="17"/>
      <c r="D54" s="17"/>
      <c r="E54" s="17"/>
    </row>
    <row r="55" spans="1:5" ht="18" customHeight="1" x14ac:dyDescent="0.2">
      <c r="A55" s="20"/>
      <c r="B55" s="17"/>
      <c r="C55" s="17"/>
      <c r="D55" s="17"/>
      <c r="E55" s="17"/>
    </row>
    <row r="56" spans="1:5" ht="18" customHeight="1" x14ac:dyDescent="0.2">
      <c r="A56" s="20"/>
      <c r="B56" s="17"/>
      <c r="C56" s="17"/>
      <c r="D56" s="17"/>
      <c r="E56" s="17"/>
    </row>
    <row r="57" spans="1:5" ht="18" customHeight="1" x14ac:dyDescent="0.2">
      <c r="A57" s="20"/>
      <c r="B57" s="17"/>
      <c r="C57" s="17"/>
      <c r="D57" s="17"/>
      <c r="E57" s="17"/>
    </row>
    <row r="59" spans="1:5" ht="32" customHeight="1" x14ac:dyDescent="0.2">
      <c r="A59" s="18" t="s">
        <v>288</v>
      </c>
      <c r="B59" s="17"/>
      <c r="C59" s="17"/>
      <c r="D59" s="17"/>
      <c r="E59" s="17"/>
    </row>
    <row r="60" spans="1:5" ht="37" customHeight="1" x14ac:dyDescent="0.2">
      <c r="A60" s="20" t="s">
        <v>306</v>
      </c>
      <c r="B60" s="17"/>
      <c r="C60" s="17"/>
      <c r="D60" s="17"/>
      <c r="E60" s="17"/>
    </row>
    <row r="61" spans="1:5" ht="18" customHeight="1" x14ac:dyDescent="0.2">
      <c r="A61" s="20"/>
      <c r="B61" s="17"/>
      <c r="C61" s="17"/>
      <c r="D61" s="17"/>
      <c r="E61" s="17"/>
    </row>
    <row r="62" spans="1:5" ht="18" customHeight="1" x14ac:dyDescent="0.2">
      <c r="A62" s="20"/>
      <c r="B62" s="17"/>
      <c r="C62" s="17"/>
      <c r="D62" s="17"/>
      <c r="E62" s="17"/>
    </row>
    <row r="63" spans="1:5" ht="18" customHeight="1" x14ac:dyDescent="0.2">
      <c r="A63" s="20"/>
      <c r="B63" s="17"/>
      <c r="C63" s="17"/>
      <c r="D63" s="17"/>
      <c r="E63" s="17"/>
    </row>
    <row r="65" spans="1:5" ht="32" customHeight="1" x14ac:dyDescent="0.2">
      <c r="A65" s="18" t="s">
        <v>289</v>
      </c>
      <c r="B65" s="17"/>
      <c r="C65" s="17"/>
      <c r="D65" s="17"/>
      <c r="E65" s="17"/>
    </row>
    <row r="66" spans="1:5" ht="18" customHeight="1" x14ac:dyDescent="0.2">
      <c r="A66" s="20" t="s">
        <v>308</v>
      </c>
      <c r="B66" s="17"/>
      <c r="C66" s="17"/>
      <c r="D66" s="17"/>
      <c r="E66" s="17"/>
    </row>
    <row r="67" spans="1:5" ht="18" customHeight="1" x14ac:dyDescent="0.2">
      <c r="A67" s="20"/>
      <c r="B67" s="17"/>
      <c r="C67" s="17"/>
      <c r="D67" s="17"/>
      <c r="E67" s="17"/>
    </row>
    <row r="68" spans="1:5" ht="18" customHeight="1" x14ac:dyDescent="0.2">
      <c r="A68" s="20"/>
      <c r="B68" s="17"/>
      <c r="C68" s="17"/>
      <c r="D68" s="17"/>
      <c r="E68" s="17"/>
    </row>
    <row r="69" spans="1:5" ht="18" customHeight="1" x14ac:dyDescent="0.2">
      <c r="A69" s="20"/>
      <c r="B69" s="17"/>
      <c r="C69" s="17"/>
      <c r="D69" s="17"/>
      <c r="E69" s="17"/>
    </row>
  </sheetData>
  <mergeCells count="27">
    <mergeCell ref="A68:E68"/>
    <mergeCell ref="A63:E63"/>
    <mergeCell ref="A67:E67"/>
    <mergeCell ref="A1:E1"/>
    <mergeCell ref="A61:E61"/>
    <mergeCell ref="A69:E69"/>
    <mergeCell ref="A65:E65"/>
    <mergeCell ref="A54:E54"/>
    <mergeCell ref="A46:E46"/>
    <mergeCell ref="A66:E66"/>
    <mergeCell ref="A56:E56"/>
    <mergeCell ref="A3:E3"/>
    <mergeCell ref="A55:E55"/>
    <mergeCell ref="A50:E50"/>
    <mergeCell ref="A57:E57"/>
    <mergeCell ref="A47:E47"/>
    <mergeCell ref="A53:E53"/>
    <mergeCell ref="A62:E62"/>
    <mergeCell ref="A52:E52"/>
    <mergeCell ref="A59:E59"/>
    <mergeCell ref="A48:E48"/>
    <mergeCell ref="A24:E24"/>
    <mergeCell ref="A15:E15"/>
    <mergeCell ref="A60:E60"/>
    <mergeCell ref="A49:E49"/>
    <mergeCell ref="A51:E51"/>
    <mergeCell ref="A45:E4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0 - Start Here</vt:lpstr>
      <vt:lpstr>1 - CAC &amp; LTV</vt:lpstr>
      <vt:lpstr>2 - Return Rate Economics</vt:lpstr>
      <vt:lpstr>3 - Working Capital</vt:lpstr>
      <vt:lpstr>4 - Break-Even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Trey Sisson</cp:lastModifiedBy>
  <dcterms:created xsi:type="dcterms:W3CDTF">2026-03-17T19:58:18Z</dcterms:created>
  <dcterms:modified xsi:type="dcterms:W3CDTF">2026-03-18T14:39:05Z</dcterms:modified>
</cp:coreProperties>
</file>