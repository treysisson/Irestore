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treysisson/iRestore/"/>
    </mc:Choice>
  </mc:AlternateContent>
  <xr:revisionPtr revIDLastSave="0" documentId="13_ncr:1_{7E2AEFE7-1002-6344-9CB7-877E00323CC5}" xr6:coauthVersionLast="47" xr6:coauthVersionMax="47" xr10:uidLastSave="{00000000-0000-0000-0000-000000000000}"/>
  <bookViews>
    <workbookView xWindow="2720" yWindow="500" windowWidth="24620" windowHeight="25520" activeTab="4" xr2:uid="{00000000-000D-0000-FFFF-FFFF00000000}"/>
  </bookViews>
  <sheets>
    <sheet name="0 - Start Here" sheetId="1" r:id="rId1"/>
    <sheet name="1 - P&amp;L Margin Analysis" sheetId="2" r:id="rId2"/>
    <sheet name="2 - Channel Profitability" sheetId="3" r:id="rId3"/>
    <sheet name="3 - Unit Economics" sheetId="4" r:id="rId4"/>
    <sheet name="4 - Demand Plannin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5" l="1"/>
  <c r="E22" i="5"/>
  <c r="G19" i="5"/>
  <c r="G20" i="5"/>
  <c r="G21" i="5"/>
  <c r="G18" i="5"/>
  <c r="F21" i="5"/>
  <c r="F20" i="5"/>
  <c r="F19" i="5"/>
  <c r="F18" i="5"/>
  <c r="E19" i="5"/>
  <c r="E20" i="5"/>
  <c r="E21" i="5"/>
  <c r="E18" i="5"/>
  <c r="H15" i="5"/>
  <c r="G15" i="5"/>
  <c r="H4" i="5"/>
  <c r="H5" i="5"/>
  <c r="H6" i="5"/>
  <c r="H7" i="5"/>
  <c r="H8" i="5"/>
  <c r="H9" i="5"/>
  <c r="H10" i="5"/>
  <c r="H11" i="5"/>
  <c r="H12" i="5"/>
  <c r="H13" i="5"/>
  <c r="H14" i="5"/>
  <c r="H3" i="5"/>
  <c r="K4" i="4"/>
  <c r="K5" i="4"/>
  <c r="L5" i="4" s="1"/>
  <c r="K6" i="4"/>
  <c r="L6" i="4" s="1"/>
  <c r="K7" i="4"/>
  <c r="L7" i="4" s="1"/>
  <c r="K8" i="4"/>
  <c r="L8" i="4" s="1"/>
  <c r="K9" i="4"/>
  <c r="L9" i="4" s="1"/>
  <c r="K10" i="4"/>
  <c r="L10" i="4" s="1"/>
  <c r="K3" i="4"/>
  <c r="L3" i="4" s="1"/>
  <c r="L4" i="4"/>
  <c r="J3" i="4"/>
  <c r="I3" i="4"/>
  <c r="H3" i="4"/>
  <c r="F4" i="4"/>
  <c r="F5" i="4"/>
  <c r="F6" i="4"/>
  <c r="F7" i="4"/>
  <c r="F8" i="4"/>
  <c r="F9" i="4"/>
  <c r="F10" i="4"/>
  <c r="F3" i="4"/>
  <c r="C12" i="3"/>
  <c r="D12" i="3"/>
  <c r="D13" i="3" s="1"/>
  <c r="E12" i="3"/>
  <c r="F12" i="3"/>
  <c r="F13" i="3" s="1"/>
  <c r="C13" i="3"/>
  <c r="E13" i="3"/>
  <c r="B13" i="3"/>
  <c r="B12" i="3"/>
  <c r="F3" i="2"/>
  <c r="F5" i="2"/>
  <c r="F6" i="2"/>
  <c r="F7" i="2"/>
  <c r="F8" i="2"/>
  <c r="F9" i="2"/>
  <c r="F10" i="2"/>
  <c r="F11" i="2"/>
  <c r="F12" i="2"/>
  <c r="F13" i="2"/>
  <c r="F14" i="2"/>
  <c r="F15" i="2"/>
  <c r="F16" i="2"/>
  <c r="F17" i="2"/>
  <c r="F18" i="2"/>
  <c r="F19" i="2"/>
  <c r="F20" i="2"/>
  <c r="F21" i="2"/>
  <c r="F4" i="2"/>
  <c r="E5" i="2"/>
  <c r="E6" i="2"/>
  <c r="E7" i="2"/>
  <c r="E8" i="2"/>
  <c r="E9" i="2"/>
  <c r="E10" i="2"/>
  <c r="E11" i="2"/>
  <c r="E12" i="2"/>
  <c r="E13" i="2"/>
  <c r="E14" i="2"/>
  <c r="E15" i="2"/>
  <c r="E16" i="2"/>
  <c r="E17" i="2"/>
  <c r="E18" i="2"/>
  <c r="E19" i="2"/>
  <c r="E20" i="2"/>
  <c r="E21" i="2"/>
  <c r="E4" i="2"/>
  <c r="E3" i="2"/>
</calcChain>
</file>

<file path=xl/sharedStrings.xml><?xml version="1.0" encoding="utf-8"?>
<sst xmlns="http://schemas.openxmlformats.org/spreadsheetml/2006/main" count="236" uniqueCount="191">
  <si>
    <t>iRESTORE COO INTERVIEW — SPREADSHEET PRACTICE EXERCISES</t>
  </si>
  <si>
    <t>HOW TO USE THIS WORKBOOK</t>
  </si>
  <si>
    <t>Each tab is a self-contained scenario based on realistic iRestore-style data.</t>
  </si>
  <si>
    <t>Your job: fill in the yellow calculation cells and answer the questions in the green answer boxes.</t>
  </si>
  <si>
    <t>TABS IN ORDER OF PRIORITY:</t>
  </si>
  <si>
    <t xml:space="preserve">  1 - P&amp;L Margin Analysis    →   YoY P&amp;L, calculate % of rev and pp changes, identify the top margin leaks</t>
  </si>
  <si>
    <t xml:space="preserve">  2 - Channel Profitability  →   Calculate contribution margin by channel, identify the real margin engine</t>
  </si>
  <si>
    <t xml:space="preserve">  3 - Unit Economics         →   Build fully-loaded contribution per unit by SKU × channel</t>
  </si>
  <si>
    <t xml:space="preserve">  4 - Demand Planning        →   Build a 2026 monthly forecast and calculate safety stock requirements</t>
  </si>
  <si>
    <t>COLOR KEY:</t>
  </si>
  <si>
    <t xml:space="preserve">  🟡 Yellow cells  =  You need to calculate or fill in a number</t>
  </si>
  <si>
    <t xml:space="preserve">  🟢 Green cells   =  Your written answer to the question goes here</t>
  </si>
  <si>
    <t xml:space="preserve">  ⬜ White/grey    =  Given data — do not change</t>
  </si>
  <si>
    <t>WHEN YOU'RE DONE:</t>
  </si>
  <si>
    <t xml:space="preserve">  Share the file back (or the Google Sheet link) and Claude will review your answers.</t>
  </si>
  <si>
    <t xml:space="preserve">  You'll get feedback on: accuracy of calculations, quality of analysis, and strength of recommendations.</t>
  </si>
  <si>
    <t>TIP — DON'T OVERTHINK THE MATH:</t>
  </si>
  <si>
    <t xml:space="preserve">  The point isn't perfect arithmetic. It's showing you know WHAT to calculate and WHY it matters.</t>
  </si>
  <si>
    <t xml:space="preserve">  Round to the nearest thousand. Use a formula. Show your work in the reasoning columns.</t>
  </si>
  <si>
    <t>SCENARIO 1: P&amp;L MARGIN ANALYSIS  |  2024 vs 2025 Actuals</t>
  </si>
  <si>
    <t>Line Item</t>
  </si>
  <si>
    <t>2024 Actual</t>
  </si>
  <si>
    <t>% of Rev
(2024)</t>
  </si>
  <si>
    <t>2025 Actual</t>
  </si>
  <si>
    <t>% of Rev
(2025)</t>
  </si>
  <si>
    <t>Δ (pp)</t>
  </si>
  <si>
    <t>Your Notes / Flag</t>
  </si>
  <si>
    <t>Net Revenue</t>
  </si>
  <si>
    <t>100%</t>
  </si>
  <si>
    <t>COGS (Manufacturing)</t>
  </si>
  <si>
    <t>24%</t>
  </si>
  <si>
    <t>Inbound Freight &amp; Duties</t>
  </si>
  <si>
    <t>5%</t>
  </si>
  <si>
    <t>Packaging</t>
  </si>
  <si>
    <t>1.8%</t>
  </si>
  <si>
    <t>Gross Profit</t>
  </si>
  <si>
    <t>69%</t>
  </si>
  <si>
    <t>Amazon PPC</t>
  </si>
  <si>
    <t>6.4%</t>
  </si>
  <si>
    <t>Meta / Google / TikTok</t>
  </si>
  <si>
    <t>6.0%</t>
  </si>
  <si>
    <t>Influencer &amp; Affiliates</t>
  </si>
  <si>
    <t>1.4%</t>
  </si>
  <si>
    <t>Amazon Fees (Referral+FBA)</t>
  </si>
  <si>
    <t>10%</t>
  </si>
  <si>
    <t>DTC Fulfillment &amp; Shipping</t>
  </si>
  <si>
    <t>2.4%</t>
  </si>
  <si>
    <t>Payment Processing</t>
  </si>
  <si>
    <t>0.8%</t>
  </si>
  <si>
    <t>Costco Co-op &amp; Freight</t>
  </si>
  <si>
    <t>1.0%</t>
  </si>
  <si>
    <t>Contribution Margin</t>
  </si>
  <si>
    <t>39%</t>
  </si>
  <si>
    <t>People (Salary + Benefits)</t>
  </si>
  <si>
    <t>9.6%</t>
  </si>
  <si>
    <t>Technology &amp; Software</t>
  </si>
  <si>
    <t>1.6%</t>
  </si>
  <si>
    <t>Rent &amp; Facilities</t>
  </si>
  <si>
    <t>1.2%</t>
  </si>
  <si>
    <t>Professional Services</t>
  </si>
  <si>
    <t>G&amp;A / Other</t>
  </si>
  <si>
    <t>2.0%</t>
  </si>
  <si>
    <t>EBITDA</t>
  </si>
  <si>
    <t>INSTRUCTIONS</t>
  </si>
  <si>
    <t>1.  Fill in the yellow '% of Rev (2025)' column for every line item  (= 2025 value ÷ Net Revenue 2025).</t>
  </si>
  <si>
    <t>2.  Fill in the yellow 'Δ (pp)' column  (= 2025 % of Rev  −  2024 % of Rev).  Positive = cost went up as % of revenue.</t>
  </si>
  <si>
    <t>3.  Use the 'Your Notes / Flag' column to write what you think is significant about each line.</t>
  </si>
  <si>
    <t>QUESTIONS — answer in the shaded cells below each question</t>
  </si>
  <si>
    <t>Q1: EBITDA grew from $12M to $14.3M — only +19% while revenue grew +80%. What is the single most important thing to call out, and what are the top 2 line items driving the gap?</t>
  </si>
  <si>
    <t>Q2: Amazon Fees went from 10% to 11.6% of revenue. Size the dollar impact of that 1.6pp increase at $90M revenue. Is this worth fixing, and how?</t>
  </si>
  <si>
    <t>Q3: COGS went UP as a % of revenue despite scale. Name two possible causes and what question you'd ask Kevin to figure out which one it is.</t>
  </si>
  <si>
    <t>SCENARIO 2: CHANNEL PROFITABILITY  |  Full Year Data</t>
  </si>
  <si>
    <t>Metric</t>
  </si>
  <si>
    <t>DTC (Shopify)</t>
  </si>
  <si>
    <t>Amazon</t>
  </si>
  <si>
    <t>Costco</t>
  </si>
  <si>
    <t>B2B / Clinic</t>
  </si>
  <si>
    <t>Total</t>
  </si>
  <si>
    <t>Gross Revenue</t>
  </si>
  <si>
    <t>Returns &amp; Allowances</t>
  </si>
  <si>
    <t>COGS</t>
  </si>
  <si>
    <t>Ad Spend / CAC</t>
  </si>
  <si>
    <t>Channel Fees</t>
  </si>
  <si>
    <t>Fulfillment &amp; Shipping</t>
  </si>
  <si>
    <t>Return Processing Cost</t>
  </si>
  <si>
    <t>Contribution Margin $</t>
  </si>
  <si>
    <t>Contribution Margin %</t>
  </si>
  <si>
    <t>1.  Calculate Contribution Margin $ for each channel  (= Gross Profit − Ad Spend − Channel Fees − Fulfillment − Return Processing).</t>
  </si>
  <si>
    <t>2.  Calculate Contribution Margin % for each channel  (= CM $ ÷ Net Revenue).  Fill in both yellow rows above.</t>
  </si>
  <si>
    <t>3.  In the questions below, use your calculations — don't just describe the table.</t>
  </si>
  <si>
    <t>Q1: After doing the math, which channel is the margin engine? Which is the biggest gap between revenue share and margin share?</t>
  </si>
  <si>
    <t>Q2: Amazon generates the most gross revenue ($38.5M) but what does its fully-loaded CM% tell you? What would you say to Kevin if he said 'Amazon is our most important channel'?</t>
  </si>
  <si>
    <t>Q3: B2B/Clinic is the smallest channel by revenue. Make the case for why it deserves the most incremental investment — use the numbers.</t>
  </si>
  <si>
    <t>SCENARIO 3: UNIT ECONOMICS BY SKU × CHANNEL</t>
  </si>
  <si>
    <t>SKU</t>
  </si>
  <si>
    <t>Channel</t>
  </si>
  <si>
    <t>Units
Sold</t>
  </si>
  <si>
    <t>List
Price</t>
  </si>
  <si>
    <t>Return
Rate</t>
  </si>
  <si>
    <t>Return-Adj
Rev/Unit
(calc →)</t>
  </si>
  <si>
    <t>COGS
/Unit</t>
  </si>
  <si>
    <t>Ad Spend
/Unit
(calc →)</t>
  </si>
  <si>
    <t>Fees
/Unit
(calc →)</t>
  </si>
  <si>
    <t>Ship
/Unit
(calc →)</t>
  </si>
  <si>
    <t>Contribution
/Unit
(calc →)</t>
  </si>
  <si>
    <t>CM %
(calc →)</t>
  </si>
  <si>
    <t>Pro Helmet</t>
  </si>
  <si>
    <t>DTC</t>
  </si>
  <si>
    <t>Essential</t>
  </si>
  <si>
    <t>Serum</t>
  </si>
  <si>
    <t>Accessories</t>
  </si>
  <si>
    <t>Col F — Return-Adj Rev/Unit:  = List Price × (1 − Return Rate)</t>
  </si>
  <si>
    <t>Col H — Ad Spend/Unit:  = Total Ad Spend ÷ Units Sold</t>
  </si>
  <si>
    <t>Col I — Channel Fees/Unit:  = Total Fees ÷ Units Sold</t>
  </si>
  <si>
    <t>Col J — Ship/Unit:  = Total Shipping ÷ Units Sold</t>
  </si>
  <si>
    <t>Col K — Contribution/Unit:  = Return-Adj Rev − COGS − Ad/Unit − Fees/Unit − Ship/Unit</t>
  </si>
  <si>
    <t>Col L — CM%:  = Contribution/Unit ÷ Return-Adj Rev/Unit</t>
  </si>
  <si>
    <t>Q1: Which SKU × Channel combination has the highest fully-loaded contribution per unit? Which might actually be negative? Show your math.</t>
  </si>
  <si>
    <t>Q2: The Pro Helmet on Amazon appears to be a big revenue driver. After fully loading all costs, is it actually contributing positively to the business? What would you recommend?</t>
  </si>
  <si>
    <t>Q3: The Serum on DTC shows the highest CM%. Why does that matter strategically, and what's one move to capitalize on it?</t>
  </si>
  <si>
    <t>SCENARIO 4: DEMAND PLANNING &amp; INVENTORY FORECASTING</t>
  </si>
  <si>
    <t>Month</t>
  </si>
  <si>
    <t>Pro Helmet
(Actual)</t>
  </si>
  <si>
    <t>Essential
(Actual)</t>
  </si>
  <si>
    <t>Serum
(Actual)</t>
  </si>
  <si>
    <t>Accessories
(Actual)</t>
  </si>
  <si>
    <t>Total Units
(Actual)</t>
  </si>
  <si>
    <t>Revenue
(Actual)</t>
  </si>
  <si>
    <t>YOUR 2026
Total Forecast</t>
  </si>
  <si>
    <t>Reasoning /
Assumptions</t>
  </si>
  <si>
    <t>Risk Flag</t>
  </si>
  <si>
    <t>Jan '25</t>
  </si>
  <si>
    <t>Feb '25</t>
  </si>
  <si>
    <t>Mar '25</t>
  </si>
  <si>
    <t>Apr '25</t>
  </si>
  <si>
    <t>May '25</t>
  </si>
  <si>
    <t>Jun '25</t>
  </si>
  <si>
    <t>Jul '25</t>
  </si>
  <si>
    <t>Aug '25</t>
  </si>
  <si>
    <t>Sep '25</t>
  </si>
  <si>
    <t>Oct '25</t>
  </si>
  <si>
    <t>Nov '25</t>
  </si>
  <si>
    <t>Dec '25</t>
  </si>
  <si>
    <t>SAFETY STOCK CALCULATOR  (fill in yellow cells)</t>
  </si>
  <si>
    <t>Lead Time
(weeks)</t>
  </si>
  <si>
    <t>Avg Weekly
Sales (base)</t>
  </si>
  <si>
    <t>Peak Week
Sales (Q4)</t>
  </si>
  <si>
    <t>Safety Stock
Target (units)</t>
  </si>
  <si>
    <t>$ Value
@ COGS</t>
  </si>
  <si>
    <t>Order Must
Place By</t>
  </si>
  <si>
    <t>Your
Calculation</t>
  </si>
  <si>
    <t>Column H (YOUR 2026 Total Forecast): Apply ~65% YoY growth to the 2025 actuals, adjusted for seasonality. Q4 (Oct-Dec) is typically 2x an average month.</t>
  </si>
  <si>
    <t>Safety Stock Target: A common formula is  (Peak Weekly Sales − Avg Weekly Sales) × Lead Time in Weeks.  Fill this in for each SKU.</t>
  </si>
  <si>
    <t>Safety Stock $ Value: Safety Stock Units × COGS per unit.  This tells you how much cash is tied up in buffer inventory.</t>
  </si>
  <si>
    <t>Order Must Place By: If Q4 peak starts in October and lead time is 20 weeks, work backwards to find when the PO must go out.</t>
  </si>
  <si>
    <t>Q1: Based on 65% YoY growth and seasonality, what total unit volume do you forecast for Nov 2026? Show how you got there.</t>
  </si>
  <si>
    <t>Q2: Using the safety stock formula, what is the total $ value of safety stock needed across all 4 SKUs for Q4? Is that a reasonable amount of capital to tie up?</t>
  </si>
  <si>
    <t>Q3: The Costco buyer calls in July and says they want to run a surprise November promo — estimated +15,000 helmet units above your forecast. It's currently July and lead time is 20 weeks. Walk through exactly what you do.</t>
  </si>
  <si>
    <t>80% growth YoY is huge, big positive</t>
  </si>
  <si>
    <t>Slight uptick, likely tariff related</t>
  </si>
  <si>
    <t>slight uptick in COGS, product mix may have slightly shifted to lower margin, or new product launches that don't have the margins yet</t>
  </si>
  <si>
    <t>flat</t>
  </si>
  <si>
    <t>2% drop in margin, despite 80% topline growth. Reasons listed above, may be OK in growth mode, but something to keep an eye on</t>
  </si>
  <si>
    <t>CM % dropped 6 points, despite 80% topline. Combo of GM losing 2 points and some of the items listed above.</t>
  </si>
  <si>
    <t>2% increase with scale - opportunity to evaluate FBA vs AWD setup to save on storage costs.</t>
  </si>
  <si>
    <t>1% bump - would look at carrier rates and see if we can negotiate, this may also be the time to evaluate adding a 3PL on east cost to lower overall shipping cost</t>
  </si>
  <si>
    <t>need to look at CostCo specific P&amp;L to see CM and what this channel is doing for us. Should be an opportunity to renegotiate co-op fees as we scale. Would also take a look at rate of freight -&gt; DC chargebacks.</t>
  </si>
  <si>
    <t>lower efficiency - can audit marketing mix to see if we an eliminate worse performing channels</t>
  </si>
  <si>
    <t>slight uptick, would be worth it if meta / google / tiktok efficiency was increasing, but since that channel is performing worse as well, need to evaluate our strategy - drop poor performing affiliates and double down on effective noes</t>
  </si>
  <si>
    <t>Need to look at PPC across products, determine if opportunities to double down or pull back.</t>
  </si>
  <si>
    <t>Positive sign that the team cost are scaling. If we continue double digit growh I'd be curious if this can maintain, or if we need to bulk up the team.</t>
  </si>
  <si>
    <t xml:space="preserve">ebit dropping 8 points while revenue jumped 80% is a clear sign of infastracture and effiecieny not keeping up with growth. The good news is we have the topline growth, and there's demand for our products. The better news is that we can optimize all of the things above to save 4-8% of ebidta in the next 12 months, and likely even 3-4% in the next 90 days. </t>
  </si>
  <si>
    <t>✏️ Your answer: ebit dropping 8 points while revenue jumped 80% is a clear sign of infastracture and effiecieny not keeping up with growth. The good news is we have the topline growth, and there's demand for our products. The better news is that we can optimize all of the things above to save 4-8% of ebidta in the next 12 months, and likely even 3-4% in the next 90 days. The top 2 line items driving the gap, from a margin standpoint - are Amazon PPC and Amazon Fees. I'd take a look at our marketing efficiency across products / geos and look for winners to double down on and losers to drop. The fees can likely be optimized with a FBA vs AWD strategy to save costs on storage.</t>
  </si>
  <si>
    <t>✏️ Your answer: That's about a $1.4M difference that is definitely worth addressing. I'd start be looking at if we're using FBA only, or FBA and AWD which can cut-down on storage cost. Additionally, for bulkier items (like the planned body panels), we can explore SFP (seller fulfilled prime) to cut down on fees and storage with amazon.</t>
  </si>
  <si>
    <t>✏️ Your answer: Two possible causes (1) a shift in revenue to products with lower margins, eg selling more face masks than hair growth helmets, or launching new products, where COGS are typically lower until the 3rd or 4th production run (2) Actual product costs have increased, due to raw material price increases. I'd ask Kevin if something signficant changed with the product mix YoY, including introduction of new products.</t>
  </si>
  <si>
    <t>✏️ Your answer: The margin engine is B2B, with 57.3% contribution margin. That's also the biggest gap between revenue share and margin share. This is an obviously opportunity to invest in growth in that channel. Being B2B, it doesn't scale as easily (human salesforce vs online advertising), but each incremental dollar invested there returns 57 cents in CM, far higher than the next best performing channels at 38 cents.</t>
  </si>
  <si>
    <t xml:space="preserve">✏️ Your answer: Amazon is not a margin channel, but is an exposure and credibility channel. The reviews on Amazon serve a critical purpose of adding credibility to a category (red light) that is often met with skepticism. Due to the revenue mix across channels in this business, I wouldn't say that any one channel is most important - more that these channels work together effectively. </t>
  </si>
  <si>
    <t>✏️ Your answer: As mentioned in my answer to Q1 - B2B is the margin driver of the business, with 57.3% contribution margin. Each incremental dollar we invest in that channel vs others will be more fruitful. i.e. spending a dollar in B2B returns 57.3 cents, while spending on amazon returns only 9.8 cents, costcos at 37.3 cents and DTC at 37.1 cents.</t>
  </si>
  <si>
    <t>✏️ Your answer: Pro Helmet on DTC has the highest fully-loaded CM at $323.88 per unit. The pro helmet on amazon is at -$60.57 of CM and Essential on amazon at -$79.26.</t>
  </si>
  <si>
    <t>✏️ Your answer: Pro helmet on amazon has -$60.57 of contribution. Far behind it's DTC counterpart, but likely still a positive contributor to the business via Amazon reviews and credibility. I recommend continuing to drive to DTC where possible, but maintaing the Amazon presence as it still serves a purpose. Some customers will only shop on amazon, and we are market leaders there with 60-70% market share. That's a big factor in our overall marketing flywheel.</t>
  </si>
  <si>
    <t>✏️ Your answer: Serum on DTC has CM of 57.7%. That matters strategically because we can invest more dollars there at a higher return. I would capitalize on this by focusing on upsells/recommendations to existing customers, I would also look at our retention and churn rates, because subscription products like this can have a huge impact on LTV. I'd also explore marketing the serum in top of funnel, because we (1) have more CM to play with (2) even if we sell at negative CM, there's so much LTV to be gained with subscription that the economics could still be favorable.</t>
  </si>
  <si>
    <t>Oct 1, 2026 - lead time ---&gt; =DATE(2026,10,1)-(B18*7)</t>
  </si>
  <si>
    <t>ditto</t>
  </si>
  <si>
    <t>65% over last year</t>
  </si>
  <si>
    <t>65% over last year (assume seasonality already baked in to 2025 numbers)</t>
  </si>
  <si>
    <t>Could see bigger spike this year</t>
  </si>
  <si>
    <t>spike in sales, need to ensure stock on hand</t>
  </si>
  <si>
    <t>Q4 coming, need to ensure enough inventory</t>
  </si>
  <si>
    <t>✏️ Your answer: Assuming seasonality is already baked into the November 2025 revenue number, I simply applied the 65% expected growth rate. So $13,100,00 * 1.65 = $21,615,000</t>
  </si>
  <si>
    <t>✏️ Your answer: Total $ of safety stock needed for all 4 SKUs is $5,957,600. That's a lot of capital to tie up, but given our 150 terms, it's a reasonable amount. Q4 projected revenue is more than $55M, so we'll have that revenue by the time we need to pay for the inventory.</t>
  </si>
  <si>
    <t>✏️ Your answer: I'm going to assume this is 15,000 units across all 3 helmet skus. I would look at our current inventory levels, forecast, and expected cash needs. (1) Inventory levels, given we plan to have safety stock of 67,000 units across all helmets, we may be okay - but this then changes the need for safety stock. So I would get more specific with the estimate of 15,000 to understand how that's allocated across each SKU. Let's say it's 5,000 across each of the 5 units. I would then order another 5,000 units of safety stock for each unit, assuming cash is available. (2) forecast - this new information will adjust the forecast. Once that is adjusted, I need to redo the safety stock calculation and ordering process. (3) I will update our cash flow forecast based on this projected inventory, and factoring in the payment terms from Costco.
This would also kick off a series of other actions to prep and account for the increased capacity - depending on whether or not we ship units directly from the factory to CostCo, or if we first received them into our own warehouse. I would also prep our CX team for an additional spike in volume at that time - w/ CostCo specific FAQs, and additional reps if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</si>
</sst>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0"/>
    <numFmt numFmtId="165" formatCode="0.0%"/>
    <numFmt numFmtId="173" formatCode="_(* #,##0_);_(* \(#,##0\);_(* &quot;-&quot;??_);_(@_)"/>
    <numFmt numFmtId="175" formatCode="_(&quot;$&quot;* #,##0_);_(&quot;$&quot;* \(#,##0\);_(&quot;$&quot;* &quot;-&quot;??_);_(@_)"/>
  </numFmts>
  <fonts count="13" x14ac:knownFonts="1">
    <font>
      <sz val="11"/>
      <color theme="1"/>
      <name val="Calibri"/>
      <family val="2"/>
      <scheme val="minor"/>
    </font>
    <font>
      <b/>
      <sz val="11"/>
      <color rgb="FFFFFFFF"/>
      <name val="Calibri"/>
      <family val="2"/>
    </font>
    <font>
      <b/>
      <sz val="10"/>
      <color rgb="FFFFFFFF"/>
      <name val="Calibri"/>
      <family val="2"/>
    </font>
    <font>
      <b/>
      <sz val="10"/>
      <name val="Calibri"/>
      <family val="2"/>
    </font>
    <font>
      <sz val="10"/>
      <name val="Calibri"/>
      <family val="2"/>
    </font>
    <font>
      <i/>
      <sz val="10"/>
      <color rgb="FF7F6000"/>
      <name val="Calibri"/>
      <family val="2"/>
    </font>
    <font>
      <i/>
      <sz val="10"/>
      <color rgb="FF666666"/>
      <name val="Calibri"/>
      <family val="2"/>
    </font>
    <font>
      <i/>
      <sz val="10"/>
      <color rgb="FF375623"/>
      <name val="Calibri"/>
      <family val="2"/>
    </font>
    <font>
      <i/>
      <sz val="9"/>
      <color rgb="FF666666"/>
      <name val="Calibri"/>
      <family val="2"/>
    </font>
    <font>
      <b/>
      <sz val="14"/>
      <color rgb="FFFFFFFF"/>
      <name val="Calibri"/>
      <family val="2"/>
    </font>
    <font>
      <sz val="12"/>
      <name val="Calibri"/>
      <family val="2"/>
    </font>
    <font>
      <b/>
      <sz val="12"/>
      <color rgb="FFFFFFFF"/>
      <name val="Calibri"/>
      <family val="2"/>
    </font>
    <font>
      <sz val="11"/>
      <color theme="1"/>
      <name val="Calibri"/>
      <family val="2"/>
      <scheme val="minor"/>
    </font>
  </fonts>
  <fills count="13">
    <fill>
      <patternFill patternType="none"/>
    </fill>
    <fill>
      <patternFill patternType="gray125"/>
    </fill>
    <fill>
      <patternFill patternType="solid">
        <fgColor rgb="FF2E75B6"/>
      </patternFill>
    </fill>
    <fill>
      <patternFill patternType="solid">
        <fgColor rgb="FF1F4E79"/>
      </patternFill>
    </fill>
    <fill>
      <patternFill patternType="solid">
        <fgColor rgb="FFD6E4F0"/>
      </patternFill>
    </fill>
    <fill>
      <patternFill patternType="solid">
        <fgColor rgb="FFFFF2CC"/>
      </patternFill>
    </fill>
    <fill>
      <patternFill patternType="solid">
        <fgColor rgb="FFFFFFFF"/>
      </patternFill>
    </fill>
    <fill>
      <patternFill patternType="solid">
        <fgColor rgb="FFFFF9C4"/>
      </patternFill>
    </fill>
    <fill>
      <patternFill patternType="solid">
        <fgColor rgb="FFE2EFDA"/>
      </patternFill>
    </fill>
    <fill>
      <patternFill patternType="solid">
        <fgColor rgb="FFF0F0F0"/>
      </patternFill>
    </fill>
    <fill>
      <patternFill patternType="solid">
        <fgColor rgb="FFF2F2F2"/>
      </patternFill>
    </fill>
    <fill>
      <patternFill patternType="solid">
        <fgColor rgb="FFFFF3E0"/>
      </patternFill>
    </fill>
    <fill>
      <patternFill patternType="solid">
        <fgColor theme="5" tint="0.79998168889431442"/>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4">
    <xf numFmtId="0" fontId="0"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cellStyleXfs>
  <cellXfs count="46">
    <xf numFmtId="0" fontId="0" fillId="0" borderId="0" xfId="0"/>
    <xf numFmtId="0" fontId="9" fillId="3" borderId="0" xfId="0" applyFont="1" applyFill="1" applyAlignment="1">
      <alignment vertical="center" wrapText="1"/>
    </xf>
    <xf numFmtId="0" fontId="10" fillId="0" borderId="0" xfId="0" applyFont="1" applyAlignment="1">
      <alignment vertical="center" wrapText="1"/>
    </xf>
    <xf numFmtId="0" fontId="11" fillId="2" borderId="0" xfId="0" applyFont="1" applyFill="1" applyAlignment="1">
      <alignment vertical="center" wrapText="1"/>
    </xf>
    <xf numFmtId="0" fontId="4" fillId="0" borderId="0" xfId="0" applyFont="1" applyAlignment="1">
      <alignment vertical="center" wrapText="1"/>
    </xf>
    <xf numFmtId="0" fontId="1" fillId="2" borderId="0" xfId="0" applyFont="1" applyFill="1" applyAlignment="1">
      <alignment vertical="center" wrapText="1"/>
    </xf>
    <xf numFmtId="0" fontId="2" fillId="3" borderId="1" xfId="0" applyFont="1" applyFill="1" applyBorder="1" applyAlignment="1">
      <alignment horizontal="center" vertical="center" wrapText="1"/>
    </xf>
    <xf numFmtId="0" fontId="3" fillId="4" borderId="1" xfId="0" applyFont="1" applyFill="1" applyBorder="1"/>
    <xf numFmtId="164" fontId="4" fillId="0" borderId="1" xfId="0" applyNumberFormat="1" applyFont="1" applyBorder="1" applyAlignment="1">
      <alignment horizontal="right"/>
    </xf>
    <xf numFmtId="0" fontId="4" fillId="0" borderId="1" xfId="0" applyFont="1" applyBorder="1" applyAlignment="1">
      <alignment horizontal="center"/>
    </xf>
    <xf numFmtId="0" fontId="5" fillId="5" borderId="1" xfId="0" applyFont="1" applyFill="1" applyBorder="1" applyAlignment="1">
      <alignment horizontal="center" vertical="center"/>
    </xf>
    <xf numFmtId="0" fontId="6" fillId="0" borderId="1" xfId="0" applyFont="1" applyBorder="1" applyAlignment="1">
      <alignment wrapText="1"/>
    </xf>
    <xf numFmtId="0" fontId="4" fillId="6" borderId="1" xfId="0" applyFont="1" applyFill="1" applyBorder="1"/>
    <xf numFmtId="164" fontId="3" fillId="0" borderId="1" xfId="0" applyNumberFormat="1" applyFont="1" applyBorder="1" applyAlignment="1">
      <alignment horizontal="right"/>
    </xf>
    <xf numFmtId="0" fontId="4" fillId="0" borderId="1" xfId="0" applyFont="1" applyBorder="1"/>
    <xf numFmtId="0" fontId="4" fillId="0" borderId="1" xfId="0" applyFont="1" applyBorder="1" applyAlignment="1">
      <alignment horizontal="right"/>
    </xf>
    <xf numFmtId="9" fontId="4" fillId="0" borderId="1" xfId="0" applyNumberFormat="1" applyFont="1" applyBorder="1" applyAlignment="1">
      <alignment horizontal="right"/>
    </xf>
    <xf numFmtId="3" fontId="4" fillId="6" borderId="1" xfId="0" applyNumberFormat="1" applyFont="1" applyFill="1" applyBorder="1" applyAlignment="1">
      <alignment horizontal="right"/>
    </xf>
    <xf numFmtId="164" fontId="4" fillId="6" borderId="1" xfId="0" applyNumberFormat="1" applyFont="1" applyFill="1" applyBorder="1" applyAlignment="1">
      <alignment horizontal="right"/>
    </xf>
    <xf numFmtId="0" fontId="0" fillId="8" borderId="1" xfId="0" applyFill="1" applyBorder="1"/>
    <xf numFmtId="0" fontId="4" fillId="10" borderId="1" xfId="0" applyFont="1" applyFill="1" applyBorder="1"/>
    <xf numFmtId="3" fontId="4" fillId="10" borderId="1" xfId="0" applyNumberFormat="1" applyFont="1" applyFill="1" applyBorder="1" applyAlignment="1">
      <alignment horizontal="right"/>
    </xf>
    <xf numFmtId="164" fontId="4" fillId="10" borderId="1" xfId="0" applyNumberFormat="1" applyFont="1" applyFill="1" applyBorder="1" applyAlignment="1">
      <alignment horizontal="right"/>
    </xf>
    <xf numFmtId="0" fontId="3" fillId="11" borderId="1" xfId="0" applyFont="1" applyFill="1" applyBorder="1"/>
    <xf numFmtId="3" fontId="4" fillId="11" borderId="1" xfId="0" applyNumberFormat="1" applyFont="1" applyFill="1" applyBorder="1" applyAlignment="1">
      <alignment horizontal="right"/>
    </xf>
    <xf numFmtId="164" fontId="4" fillId="11" borderId="1" xfId="0" applyNumberFormat="1" applyFont="1" applyFill="1" applyBorder="1" applyAlignment="1">
      <alignment horizontal="right"/>
    </xf>
    <xf numFmtId="0" fontId="2" fillId="2" borderId="1" xfId="0" applyFont="1" applyFill="1" applyBorder="1" applyAlignment="1">
      <alignment horizontal="center" vertical="center" wrapText="1"/>
    </xf>
    <xf numFmtId="3" fontId="4" fillId="0" borderId="1" xfId="0" applyNumberFormat="1" applyFont="1" applyBorder="1" applyAlignment="1">
      <alignment horizontal="right"/>
    </xf>
    <xf numFmtId="0" fontId="7" fillId="8" borderId="1" xfId="0" applyFont="1" applyFill="1" applyBorder="1" applyAlignment="1">
      <alignment horizontal="left" vertical="center" wrapText="1"/>
    </xf>
    <xf numFmtId="0" fontId="0" fillId="0" borderId="0" xfId="0"/>
    <xf numFmtId="0" fontId="3" fillId="7" borderId="0" xfId="0" applyFont="1" applyFill="1" applyAlignment="1">
      <alignment horizontal="left" vertical="center" wrapText="1"/>
    </xf>
    <xf numFmtId="0" fontId="3" fillId="7" borderId="0" xfId="0" applyFont="1" applyFill="1" applyAlignment="1">
      <alignment horizontal="left" vertical="center"/>
    </xf>
    <xf numFmtId="0" fontId="4" fillId="0" borderId="0" xfId="0" applyFont="1" applyAlignment="1">
      <alignment vertical="center" wrapText="1"/>
    </xf>
    <xf numFmtId="0" fontId="1" fillId="2" borderId="0" xfId="0" applyFont="1" applyFill="1" applyAlignment="1">
      <alignment horizontal="left" vertical="center"/>
    </xf>
    <xf numFmtId="165" fontId="5" fillId="5" borderId="1" xfId="3" applyNumberFormat="1" applyFont="1" applyFill="1" applyBorder="1" applyAlignment="1">
      <alignment horizontal="center" vertical="center"/>
    </xf>
    <xf numFmtId="165" fontId="5" fillId="12" borderId="1" xfId="3"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44" fontId="5" fillId="5" borderId="1" xfId="2" applyFont="1" applyFill="1" applyBorder="1" applyAlignment="1">
      <alignment horizontal="center" vertical="center"/>
    </xf>
    <xf numFmtId="6" fontId="8" fillId="9" borderId="1" xfId="0" applyNumberFormat="1" applyFont="1" applyFill="1" applyBorder="1" applyAlignment="1">
      <alignment horizontal="center" wrapText="1"/>
    </xf>
    <xf numFmtId="8" fontId="0" fillId="0" borderId="0" xfId="0" applyNumberFormat="1"/>
    <xf numFmtId="44" fontId="5" fillId="5" borderId="1" xfId="0" applyNumberFormat="1" applyFont="1" applyFill="1" applyBorder="1" applyAlignment="1">
      <alignment horizontal="center" vertical="center"/>
    </xf>
    <xf numFmtId="164" fontId="0" fillId="0" borderId="0" xfId="0" applyNumberFormat="1"/>
    <xf numFmtId="173" fontId="5" fillId="5" borderId="1" xfId="1" applyNumberFormat="1" applyFont="1" applyFill="1" applyBorder="1" applyAlignment="1">
      <alignment horizontal="center" vertical="center"/>
    </xf>
    <xf numFmtId="175" fontId="5" fillId="5" borderId="1" xfId="2" applyNumberFormat="1" applyFont="1" applyFill="1" applyBorder="1" applyAlignment="1">
      <alignment horizontal="center" vertical="center"/>
    </xf>
    <xf numFmtId="14" fontId="5" fillId="5" borderId="1" xfId="0" applyNumberFormat="1" applyFont="1" applyFill="1" applyBorder="1" applyAlignment="1">
      <alignment horizontal="center" vertical="center"/>
    </xf>
    <xf numFmtId="173" fontId="0" fillId="0" borderId="0" xfId="0" applyNumberFormat="1"/>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showGridLines="0" zoomScale="154" zoomScaleNormal="154" workbookViewId="0">
      <selection activeCell="D23" sqref="D23"/>
    </sheetView>
  </sheetViews>
  <sheetFormatPr baseColWidth="10" defaultColWidth="8.83203125" defaultRowHeight="15" x14ac:dyDescent="0.2"/>
  <cols>
    <col min="1" max="1" width="80" customWidth="1"/>
  </cols>
  <sheetData>
    <row r="1" spans="1:1" ht="22" customHeight="1" x14ac:dyDescent="0.2">
      <c r="A1" s="1" t="s">
        <v>0</v>
      </c>
    </row>
    <row r="2" spans="1:1" ht="22" customHeight="1" x14ac:dyDescent="0.2">
      <c r="A2" s="2"/>
    </row>
    <row r="3" spans="1:1" ht="22" customHeight="1" x14ac:dyDescent="0.2">
      <c r="A3" s="3" t="s">
        <v>1</v>
      </c>
    </row>
    <row r="4" spans="1:1" ht="22" customHeight="1" x14ac:dyDescent="0.2">
      <c r="A4" s="4"/>
    </row>
    <row r="5" spans="1:1" ht="22" customHeight="1" x14ac:dyDescent="0.2">
      <c r="A5" s="4" t="s">
        <v>2</v>
      </c>
    </row>
    <row r="6" spans="1:1" ht="22" customHeight="1" x14ac:dyDescent="0.2">
      <c r="A6" s="4" t="s">
        <v>3</v>
      </c>
    </row>
    <row r="7" spans="1:1" ht="22" customHeight="1" x14ac:dyDescent="0.2">
      <c r="A7" s="4"/>
    </row>
    <row r="8" spans="1:1" ht="22" customHeight="1" x14ac:dyDescent="0.2">
      <c r="A8" s="5" t="s">
        <v>4</v>
      </c>
    </row>
    <row r="9" spans="1:1" ht="22" customHeight="1" x14ac:dyDescent="0.2">
      <c r="A9" s="4" t="s">
        <v>5</v>
      </c>
    </row>
    <row r="10" spans="1:1" ht="22" customHeight="1" x14ac:dyDescent="0.2">
      <c r="A10" s="4" t="s">
        <v>6</v>
      </c>
    </row>
    <row r="11" spans="1:1" ht="22" customHeight="1" x14ac:dyDescent="0.2">
      <c r="A11" s="4" t="s">
        <v>7</v>
      </c>
    </row>
    <row r="12" spans="1:1" ht="22" customHeight="1" x14ac:dyDescent="0.2">
      <c r="A12" s="4" t="s">
        <v>8</v>
      </c>
    </row>
    <row r="13" spans="1:1" ht="22" customHeight="1" x14ac:dyDescent="0.2">
      <c r="A13" s="4"/>
    </row>
    <row r="14" spans="1:1" ht="22" customHeight="1" x14ac:dyDescent="0.2">
      <c r="A14" s="5" t="s">
        <v>9</v>
      </c>
    </row>
    <row r="15" spans="1:1" ht="22" customHeight="1" x14ac:dyDescent="0.2">
      <c r="A15" s="4" t="s">
        <v>10</v>
      </c>
    </row>
    <row r="16" spans="1:1" ht="22" customHeight="1" x14ac:dyDescent="0.2">
      <c r="A16" s="4" t="s">
        <v>11</v>
      </c>
    </row>
    <row r="17" spans="1:1" ht="22" customHeight="1" x14ac:dyDescent="0.2">
      <c r="A17" s="4" t="s">
        <v>12</v>
      </c>
    </row>
    <row r="18" spans="1:1" ht="22" customHeight="1" x14ac:dyDescent="0.2">
      <c r="A18" s="4"/>
    </row>
    <row r="19" spans="1:1" ht="22" customHeight="1" x14ac:dyDescent="0.2">
      <c r="A19" s="5" t="s">
        <v>13</v>
      </c>
    </row>
    <row r="20" spans="1:1" ht="22" customHeight="1" x14ac:dyDescent="0.2">
      <c r="A20" s="4" t="s">
        <v>14</v>
      </c>
    </row>
    <row r="21" spans="1:1" ht="22" customHeight="1" x14ac:dyDescent="0.2">
      <c r="A21" s="4" t="s">
        <v>15</v>
      </c>
    </row>
    <row r="22" spans="1:1" ht="22" customHeight="1" x14ac:dyDescent="0.2">
      <c r="A22" s="4"/>
    </row>
    <row r="23" spans="1:1" ht="22" customHeight="1" x14ac:dyDescent="0.2">
      <c r="A23" s="5" t="s">
        <v>16</v>
      </c>
    </row>
    <row r="24" spans="1:1" ht="22" customHeight="1" x14ac:dyDescent="0.2">
      <c r="A24" s="4" t="s">
        <v>17</v>
      </c>
    </row>
    <row r="25" spans="1:1" ht="22" customHeight="1" x14ac:dyDescent="0.2">
      <c r="A25" s="4"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5"/>
  <sheetViews>
    <sheetView zoomScale="174" zoomScaleNormal="174" workbookViewId="0">
      <pane ySplit="2" topLeftCell="A17" activePane="bottomLeft" state="frozen"/>
      <selection pane="bottomLeft" activeCell="A43" sqref="A43:XFD43"/>
    </sheetView>
  </sheetViews>
  <sheetFormatPr baseColWidth="10" defaultColWidth="8.83203125" defaultRowHeight="15" x14ac:dyDescent="0.2"/>
  <cols>
    <col min="1" max="1" width="28" customWidth="1"/>
    <col min="2" max="2" width="14" customWidth="1"/>
    <col min="3" max="3" width="12" customWidth="1"/>
    <col min="4" max="4" width="14" customWidth="1"/>
    <col min="5" max="6" width="12" customWidth="1"/>
    <col min="7" max="7" width="54.83203125" customWidth="1"/>
  </cols>
  <sheetData>
    <row r="1" spans="1:7" ht="20" customHeight="1" x14ac:dyDescent="0.2">
      <c r="A1" s="33" t="s">
        <v>19</v>
      </c>
      <c r="B1" s="29"/>
      <c r="C1" s="29"/>
      <c r="D1" s="29"/>
      <c r="E1" s="29"/>
      <c r="F1" s="29"/>
      <c r="G1" s="29"/>
    </row>
    <row r="2" spans="1:7" ht="30" x14ac:dyDescent="0.2">
      <c r="A2" s="6" t="s">
        <v>20</v>
      </c>
      <c r="B2" s="6" t="s">
        <v>21</v>
      </c>
      <c r="C2" s="6" t="s">
        <v>22</v>
      </c>
      <c r="D2" s="6" t="s">
        <v>23</v>
      </c>
      <c r="E2" s="6" t="s">
        <v>24</v>
      </c>
      <c r="F2" s="6" t="s">
        <v>25</v>
      </c>
      <c r="G2" s="6" t="s">
        <v>26</v>
      </c>
    </row>
    <row r="3" spans="1:7" ht="45" customHeight="1" x14ac:dyDescent="0.2">
      <c r="A3" s="7" t="s">
        <v>27</v>
      </c>
      <c r="B3" s="8">
        <v>50000000</v>
      </c>
      <c r="C3" s="9" t="s">
        <v>28</v>
      </c>
      <c r="D3" s="8">
        <v>90000000</v>
      </c>
      <c r="E3" s="34">
        <f>D3/$D$3</f>
        <v>1</v>
      </c>
      <c r="F3" s="34">
        <f>(D3-B3)/B3</f>
        <v>0.8</v>
      </c>
      <c r="G3" s="11" t="s">
        <v>158</v>
      </c>
    </row>
    <row r="4" spans="1:7" ht="45" customHeight="1" x14ac:dyDescent="0.2">
      <c r="A4" s="12" t="s">
        <v>29</v>
      </c>
      <c r="B4" s="8">
        <v>-12000000</v>
      </c>
      <c r="C4" s="9" t="s">
        <v>30</v>
      </c>
      <c r="D4" s="8">
        <v>-22500000</v>
      </c>
      <c r="E4" s="34">
        <f>ABS(D4/$D$3)</f>
        <v>0.25</v>
      </c>
      <c r="F4" s="34">
        <f>E4-C4</f>
        <v>1.0000000000000009E-2</v>
      </c>
      <c r="G4" s="11" t="s">
        <v>160</v>
      </c>
    </row>
    <row r="5" spans="1:7" ht="45" customHeight="1" x14ac:dyDescent="0.2">
      <c r="A5" s="12" t="s">
        <v>31</v>
      </c>
      <c r="B5" s="8">
        <v>-2500000</v>
      </c>
      <c r="C5" s="9" t="s">
        <v>32</v>
      </c>
      <c r="D5" s="8">
        <v>-5400000</v>
      </c>
      <c r="E5" s="34">
        <f t="shared" ref="E5:E21" si="0">ABS(D5/$D$3)</f>
        <v>0.06</v>
      </c>
      <c r="F5" s="34">
        <f t="shared" ref="F5:F21" si="1">E5-C5</f>
        <v>9.999999999999995E-3</v>
      </c>
      <c r="G5" s="11" t="s">
        <v>159</v>
      </c>
    </row>
    <row r="6" spans="1:7" ht="45" customHeight="1" x14ac:dyDescent="0.2">
      <c r="A6" s="12" t="s">
        <v>33</v>
      </c>
      <c r="B6" s="8">
        <v>-900000</v>
      </c>
      <c r="C6" s="9" t="s">
        <v>34</v>
      </c>
      <c r="D6" s="8">
        <v>-1800000</v>
      </c>
      <c r="E6" s="34">
        <f t="shared" si="0"/>
        <v>0.02</v>
      </c>
      <c r="F6" s="34">
        <f t="shared" si="1"/>
        <v>2.0000000000000018E-3</v>
      </c>
      <c r="G6" s="11" t="s">
        <v>161</v>
      </c>
    </row>
    <row r="7" spans="1:7" ht="45" customHeight="1" x14ac:dyDescent="0.2">
      <c r="A7" s="7" t="s">
        <v>35</v>
      </c>
      <c r="B7" s="8">
        <v>34600000</v>
      </c>
      <c r="C7" s="9" t="s">
        <v>36</v>
      </c>
      <c r="D7" s="8">
        <v>60300000</v>
      </c>
      <c r="E7" s="34">
        <f t="shared" si="0"/>
        <v>0.67</v>
      </c>
      <c r="F7" s="35">
        <f t="shared" si="1"/>
        <v>-1.9999999999999907E-2</v>
      </c>
      <c r="G7" s="11" t="s">
        <v>162</v>
      </c>
    </row>
    <row r="8" spans="1:7" ht="45" customHeight="1" x14ac:dyDescent="0.2">
      <c r="A8" s="12" t="s">
        <v>37</v>
      </c>
      <c r="B8" s="8">
        <v>-3200000</v>
      </c>
      <c r="C8" s="9" t="s">
        <v>38</v>
      </c>
      <c r="D8" s="8">
        <v>-7000000</v>
      </c>
      <c r="E8" s="34">
        <f t="shared" si="0"/>
        <v>7.7777777777777779E-2</v>
      </c>
      <c r="F8" s="34">
        <f t="shared" si="1"/>
        <v>1.3777777777777778E-2</v>
      </c>
      <c r="G8" s="11" t="s">
        <v>169</v>
      </c>
    </row>
    <row r="9" spans="1:7" ht="45" customHeight="1" x14ac:dyDescent="0.2">
      <c r="A9" s="12" t="s">
        <v>39</v>
      </c>
      <c r="B9" s="8">
        <v>-3000000</v>
      </c>
      <c r="C9" s="9" t="s">
        <v>40</v>
      </c>
      <c r="D9" s="8">
        <v>-6500000</v>
      </c>
      <c r="E9" s="34">
        <f t="shared" si="0"/>
        <v>7.2222222222222215E-2</v>
      </c>
      <c r="F9" s="34">
        <f t="shared" si="1"/>
        <v>1.2222222222222218E-2</v>
      </c>
      <c r="G9" s="11" t="s">
        <v>167</v>
      </c>
    </row>
    <row r="10" spans="1:7" ht="45" customHeight="1" x14ac:dyDescent="0.2">
      <c r="A10" s="12" t="s">
        <v>41</v>
      </c>
      <c r="B10" s="8">
        <v>-700000</v>
      </c>
      <c r="C10" s="9" t="s">
        <v>42</v>
      </c>
      <c r="D10" s="8">
        <v>-1800000</v>
      </c>
      <c r="E10" s="34">
        <f t="shared" si="0"/>
        <v>0.02</v>
      </c>
      <c r="F10" s="34">
        <f t="shared" si="1"/>
        <v>6.0000000000000001E-3</v>
      </c>
      <c r="G10" s="11" t="s">
        <v>168</v>
      </c>
    </row>
    <row r="11" spans="1:7" ht="45" customHeight="1" x14ac:dyDescent="0.2">
      <c r="A11" s="12" t="s">
        <v>43</v>
      </c>
      <c r="B11" s="8">
        <v>-5000000</v>
      </c>
      <c r="C11" s="9" t="s">
        <v>44</v>
      </c>
      <c r="D11" s="8">
        <v>-10400000</v>
      </c>
      <c r="E11" s="34">
        <f t="shared" si="0"/>
        <v>0.11555555555555555</v>
      </c>
      <c r="F11" s="34">
        <f t="shared" si="1"/>
        <v>1.5555555555555545E-2</v>
      </c>
      <c r="G11" s="11" t="s">
        <v>164</v>
      </c>
    </row>
    <row r="12" spans="1:7" ht="45" customHeight="1" x14ac:dyDescent="0.2">
      <c r="A12" s="12" t="s">
        <v>45</v>
      </c>
      <c r="B12" s="8">
        <v>-1200000</v>
      </c>
      <c r="C12" s="9" t="s">
        <v>46</v>
      </c>
      <c r="D12" s="8">
        <v>-2700000</v>
      </c>
      <c r="E12" s="34">
        <f t="shared" si="0"/>
        <v>0.03</v>
      </c>
      <c r="F12" s="34">
        <f t="shared" si="1"/>
        <v>5.9999999999999984E-3</v>
      </c>
      <c r="G12" s="11" t="s">
        <v>165</v>
      </c>
    </row>
    <row r="13" spans="1:7" ht="45" customHeight="1" x14ac:dyDescent="0.2">
      <c r="A13" s="12" t="s">
        <v>47</v>
      </c>
      <c r="B13" s="8">
        <v>-400000</v>
      </c>
      <c r="C13" s="9" t="s">
        <v>48</v>
      </c>
      <c r="D13" s="8">
        <v>-800000</v>
      </c>
      <c r="E13" s="34">
        <f t="shared" si="0"/>
        <v>8.8888888888888889E-3</v>
      </c>
      <c r="F13" s="34">
        <f t="shared" si="1"/>
        <v>8.8888888888888871E-4</v>
      </c>
      <c r="G13" s="11" t="s">
        <v>161</v>
      </c>
    </row>
    <row r="14" spans="1:7" ht="45" customHeight="1" x14ac:dyDescent="0.2">
      <c r="A14" s="12" t="s">
        <v>49</v>
      </c>
      <c r="B14" s="8">
        <v>-500000</v>
      </c>
      <c r="C14" s="9" t="s">
        <v>50</v>
      </c>
      <c r="D14" s="8">
        <v>-1600000</v>
      </c>
      <c r="E14" s="34">
        <f t="shared" si="0"/>
        <v>1.7777777777777778E-2</v>
      </c>
      <c r="F14" s="34">
        <f t="shared" si="1"/>
        <v>7.7777777777777776E-3</v>
      </c>
      <c r="G14" s="11" t="s">
        <v>166</v>
      </c>
    </row>
    <row r="15" spans="1:7" ht="45" customHeight="1" x14ac:dyDescent="0.2">
      <c r="A15" s="7" t="s">
        <v>51</v>
      </c>
      <c r="B15" s="8">
        <v>19600000</v>
      </c>
      <c r="C15" s="9" t="s">
        <v>52</v>
      </c>
      <c r="D15" s="8">
        <v>29500000</v>
      </c>
      <c r="E15" s="34">
        <f t="shared" si="0"/>
        <v>0.32777777777777778</v>
      </c>
      <c r="F15" s="34">
        <f t="shared" si="1"/>
        <v>-6.2222222222222234E-2</v>
      </c>
      <c r="G15" s="11" t="s">
        <v>163</v>
      </c>
    </row>
    <row r="16" spans="1:7" ht="45" customHeight="1" x14ac:dyDescent="0.2">
      <c r="A16" s="12" t="s">
        <v>53</v>
      </c>
      <c r="B16" s="8">
        <v>-4800000</v>
      </c>
      <c r="C16" s="9" t="s">
        <v>54</v>
      </c>
      <c r="D16" s="8">
        <v>-8100000</v>
      </c>
      <c r="E16" s="34">
        <f t="shared" si="0"/>
        <v>0.09</v>
      </c>
      <c r="F16" s="34">
        <f t="shared" si="1"/>
        <v>-6.0000000000000053E-3</v>
      </c>
      <c r="G16" s="11" t="s">
        <v>170</v>
      </c>
    </row>
    <row r="17" spans="1:7" ht="45" customHeight="1" x14ac:dyDescent="0.2">
      <c r="A17" s="12" t="s">
        <v>55</v>
      </c>
      <c r="B17" s="8">
        <v>-800000</v>
      </c>
      <c r="C17" s="9" t="s">
        <v>56</v>
      </c>
      <c r="D17" s="8">
        <v>-1600000</v>
      </c>
      <c r="E17" s="34">
        <f t="shared" si="0"/>
        <v>1.7777777777777778E-2</v>
      </c>
      <c r="F17" s="34">
        <f t="shared" si="1"/>
        <v>1.7777777777777774E-3</v>
      </c>
      <c r="G17" s="11" t="s">
        <v>161</v>
      </c>
    </row>
    <row r="18" spans="1:7" ht="45" customHeight="1" x14ac:dyDescent="0.2">
      <c r="A18" s="12" t="s">
        <v>57</v>
      </c>
      <c r="B18" s="8">
        <v>-600000</v>
      </c>
      <c r="C18" s="9" t="s">
        <v>58</v>
      </c>
      <c r="D18" s="8">
        <v>-1200000</v>
      </c>
      <c r="E18" s="34">
        <f t="shared" si="0"/>
        <v>1.3333333333333334E-2</v>
      </c>
      <c r="F18" s="34">
        <f t="shared" si="1"/>
        <v>1.3333333333333339E-3</v>
      </c>
      <c r="G18" s="11" t="s">
        <v>161</v>
      </c>
    </row>
    <row r="19" spans="1:7" ht="45" customHeight="1" x14ac:dyDescent="0.2">
      <c r="A19" s="12" t="s">
        <v>59</v>
      </c>
      <c r="B19" s="8">
        <v>-400000</v>
      </c>
      <c r="C19" s="9" t="s">
        <v>48</v>
      </c>
      <c r="D19" s="8">
        <v>-800000</v>
      </c>
      <c r="E19" s="34">
        <f t="shared" si="0"/>
        <v>8.8888888888888889E-3</v>
      </c>
      <c r="F19" s="34">
        <f t="shared" si="1"/>
        <v>8.8888888888888871E-4</v>
      </c>
      <c r="G19" s="11" t="s">
        <v>161</v>
      </c>
    </row>
    <row r="20" spans="1:7" ht="45" customHeight="1" x14ac:dyDescent="0.2">
      <c r="A20" s="12" t="s">
        <v>60</v>
      </c>
      <c r="B20" s="8">
        <v>-1000000</v>
      </c>
      <c r="C20" s="9" t="s">
        <v>61</v>
      </c>
      <c r="D20" s="8">
        <v>-1600000</v>
      </c>
      <c r="E20" s="34">
        <f t="shared" si="0"/>
        <v>1.7777777777777778E-2</v>
      </c>
      <c r="F20" s="34">
        <f t="shared" si="1"/>
        <v>-2.2222222222222227E-3</v>
      </c>
      <c r="G20" s="11" t="s">
        <v>161</v>
      </c>
    </row>
    <row r="21" spans="1:7" ht="45" customHeight="1" x14ac:dyDescent="0.2">
      <c r="A21" s="7" t="s">
        <v>62</v>
      </c>
      <c r="B21" s="8">
        <v>12000000</v>
      </c>
      <c r="C21" s="9" t="s">
        <v>30</v>
      </c>
      <c r="D21" s="8">
        <v>14300000</v>
      </c>
      <c r="E21" s="34">
        <f t="shared" si="0"/>
        <v>0.15888888888888889</v>
      </c>
      <c r="F21" s="34">
        <f t="shared" si="1"/>
        <v>-8.1111111111111106E-2</v>
      </c>
      <c r="G21" s="11" t="s">
        <v>171</v>
      </c>
    </row>
    <row r="23" spans="1:7" ht="20" customHeight="1" x14ac:dyDescent="0.2">
      <c r="A23" s="33" t="s">
        <v>63</v>
      </c>
      <c r="B23" s="29"/>
      <c r="C23" s="29"/>
      <c r="D23" s="29"/>
      <c r="E23" s="29"/>
      <c r="F23" s="29"/>
      <c r="G23" s="29"/>
    </row>
    <row r="24" spans="1:7" ht="22" customHeight="1" x14ac:dyDescent="0.2">
      <c r="A24" s="32" t="s">
        <v>64</v>
      </c>
      <c r="B24" s="29"/>
      <c r="C24" s="29"/>
      <c r="D24" s="29"/>
      <c r="E24" s="29"/>
      <c r="F24" s="29"/>
      <c r="G24" s="29"/>
    </row>
    <row r="25" spans="1:7" ht="22" customHeight="1" x14ac:dyDescent="0.2">
      <c r="A25" s="32" t="s">
        <v>65</v>
      </c>
      <c r="B25" s="29"/>
      <c r="C25" s="29"/>
      <c r="D25" s="29"/>
      <c r="E25" s="29"/>
      <c r="F25" s="29"/>
      <c r="G25" s="29"/>
    </row>
    <row r="26" spans="1:7" ht="22" customHeight="1" x14ac:dyDescent="0.2">
      <c r="A26" s="32" t="s">
        <v>66</v>
      </c>
      <c r="B26" s="29"/>
      <c r="C26" s="29"/>
      <c r="D26" s="29"/>
      <c r="E26" s="29"/>
      <c r="F26" s="29"/>
      <c r="G26" s="29"/>
    </row>
    <row r="28" spans="1:7" ht="18" customHeight="1" x14ac:dyDescent="0.2">
      <c r="A28" s="31" t="s">
        <v>67</v>
      </c>
      <c r="B28" s="29"/>
      <c r="C28" s="29"/>
      <c r="D28" s="29"/>
      <c r="E28" s="29"/>
      <c r="F28" s="29"/>
      <c r="G28" s="29"/>
    </row>
    <row r="29" spans="1:7" ht="30" customHeight="1" x14ac:dyDescent="0.2">
      <c r="A29" s="30" t="s">
        <v>68</v>
      </c>
      <c r="B29" s="29"/>
      <c r="C29" s="29"/>
      <c r="D29" s="29"/>
      <c r="E29" s="29"/>
      <c r="F29" s="29"/>
      <c r="G29" s="29"/>
    </row>
    <row r="30" spans="1:7" ht="68" customHeight="1" x14ac:dyDescent="0.2">
      <c r="A30" s="28" t="s">
        <v>172</v>
      </c>
      <c r="B30" s="29"/>
      <c r="C30" s="29"/>
      <c r="D30" s="29"/>
      <c r="E30" s="29"/>
      <c r="F30" s="29"/>
      <c r="G30" s="29"/>
    </row>
    <row r="31" spans="1:7" ht="18" customHeight="1" x14ac:dyDescent="0.2">
      <c r="A31" s="28"/>
      <c r="B31" s="29"/>
      <c r="C31" s="29"/>
      <c r="D31" s="29"/>
      <c r="E31" s="29"/>
      <c r="F31" s="29"/>
      <c r="G31" s="29"/>
    </row>
    <row r="32" spans="1:7" ht="18" customHeight="1" x14ac:dyDescent="0.2">
      <c r="A32" s="28"/>
      <c r="B32" s="29"/>
      <c r="C32" s="29"/>
      <c r="D32" s="29"/>
      <c r="E32" s="29"/>
      <c r="F32" s="29"/>
      <c r="G32" s="29"/>
    </row>
    <row r="33" spans="1:7" ht="18" customHeight="1" x14ac:dyDescent="0.2">
      <c r="A33" s="28"/>
      <c r="B33" s="29"/>
      <c r="C33" s="29"/>
      <c r="D33" s="29"/>
      <c r="E33" s="29"/>
      <c r="F33" s="29"/>
      <c r="G33" s="29"/>
    </row>
    <row r="35" spans="1:7" ht="30" customHeight="1" x14ac:dyDescent="0.2">
      <c r="A35" s="30" t="s">
        <v>69</v>
      </c>
      <c r="B35" s="29"/>
      <c r="C35" s="29"/>
      <c r="D35" s="29"/>
      <c r="E35" s="29"/>
      <c r="F35" s="29"/>
      <c r="G35" s="29"/>
    </row>
    <row r="36" spans="1:7" ht="18" customHeight="1" x14ac:dyDescent="0.2">
      <c r="A36" s="28" t="s">
        <v>173</v>
      </c>
      <c r="B36" s="29"/>
      <c r="C36" s="29"/>
      <c r="D36" s="29"/>
      <c r="E36" s="29"/>
      <c r="F36" s="29"/>
      <c r="G36" s="29"/>
    </row>
    <row r="37" spans="1:7" ht="18" customHeight="1" x14ac:dyDescent="0.2">
      <c r="A37" s="28"/>
      <c r="B37" s="29"/>
      <c r="C37" s="29"/>
      <c r="D37" s="29"/>
      <c r="E37" s="29"/>
      <c r="F37" s="29"/>
      <c r="G37" s="29"/>
    </row>
    <row r="38" spans="1:7" ht="18" customHeight="1" x14ac:dyDescent="0.2">
      <c r="A38" s="28"/>
      <c r="B38" s="29"/>
      <c r="C38" s="29"/>
      <c r="D38" s="29"/>
      <c r="E38" s="29"/>
      <c r="F38" s="29"/>
      <c r="G38" s="29"/>
    </row>
    <row r="39" spans="1:7" ht="18" customHeight="1" x14ac:dyDescent="0.2">
      <c r="A39" s="28"/>
      <c r="B39" s="29"/>
      <c r="C39" s="29"/>
      <c r="D39" s="29"/>
      <c r="E39" s="29"/>
      <c r="F39" s="29"/>
      <c r="G39" s="29"/>
    </row>
    <row r="41" spans="1:7" ht="30" customHeight="1" x14ac:dyDescent="0.2">
      <c r="A41" s="30" t="s">
        <v>70</v>
      </c>
      <c r="B41" s="29"/>
      <c r="C41" s="29"/>
      <c r="D41" s="29"/>
      <c r="E41" s="29"/>
      <c r="F41" s="29"/>
      <c r="G41" s="29"/>
    </row>
    <row r="42" spans="1:7" ht="66" customHeight="1" x14ac:dyDescent="0.2">
      <c r="A42" s="28" t="s">
        <v>174</v>
      </c>
      <c r="B42" s="29"/>
      <c r="C42" s="29"/>
      <c r="D42" s="29"/>
      <c r="E42" s="29"/>
      <c r="F42" s="29"/>
      <c r="G42" s="29"/>
    </row>
    <row r="43" spans="1:7" ht="18" customHeight="1" x14ac:dyDescent="0.2">
      <c r="A43" s="28"/>
      <c r="B43" s="29"/>
      <c r="C43" s="29"/>
      <c r="D43" s="29"/>
      <c r="E43" s="29"/>
      <c r="F43" s="29"/>
      <c r="G43" s="29"/>
    </row>
    <row r="44" spans="1:7" ht="18" customHeight="1" x14ac:dyDescent="0.2">
      <c r="A44" s="28"/>
      <c r="B44" s="29"/>
      <c r="C44" s="29"/>
      <c r="D44" s="29"/>
      <c r="E44" s="29"/>
      <c r="F44" s="29"/>
      <c r="G44" s="29"/>
    </row>
    <row r="45" spans="1:7" ht="18" customHeight="1" x14ac:dyDescent="0.2">
      <c r="A45" s="28"/>
      <c r="B45" s="29"/>
      <c r="C45" s="29"/>
      <c r="D45" s="29"/>
      <c r="E45" s="29"/>
      <c r="F45" s="29"/>
      <c r="G45" s="29"/>
    </row>
  </sheetData>
  <mergeCells count="21">
    <mergeCell ref="A45:G45"/>
    <mergeCell ref="A36:G36"/>
    <mergeCell ref="A1:G1"/>
    <mergeCell ref="A25:G25"/>
    <mergeCell ref="A41:G41"/>
    <mergeCell ref="A37:G37"/>
    <mergeCell ref="A26:G26"/>
    <mergeCell ref="A33:G33"/>
    <mergeCell ref="A42:G42"/>
    <mergeCell ref="A23:G23"/>
    <mergeCell ref="A28:G28"/>
    <mergeCell ref="A44:G44"/>
    <mergeCell ref="A31:G31"/>
    <mergeCell ref="A39:G39"/>
    <mergeCell ref="A24:G24"/>
    <mergeCell ref="A30:G30"/>
    <mergeCell ref="A32:G32"/>
    <mergeCell ref="A35:G35"/>
    <mergeCell ref="A38:G38"/>
    <mergeCell ref="A29:G29"/>
    <mergeCell ref="A43:G4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
  <sheetViews>
    <sheetView zoomScale="180" zoomScaleNormal="180" workbookViewId="0">
      <pane ySplit="2" topLeftCell="A19" activePane="bottomLeft" state="frozen"/>
      <selection pane="bottomLeft" activeCell="C40" sqref="C40"/>
    </sheetView>
  </sheetViews>
  <sheetFormatPr baseColWidth="10" defaultColWidth="8.83203125" defaultRowHeight="15" x14ac:dyDescent="0.2"/>
  <cols>
    <col min="1" max="1" width="28" customWidth="1"/>
    <col min="2" max="6" width="14" customWidth="1"/>
  </cols>
  <sheetData>
    <row r="1" spans="1:6" ht="20" customHeight="1" x14ac:dyDescent="0.2">
      <c r="A1" s="33" t="s">
        <v>71</v>
      </c>
      <c r="B1" s="29"/>
      <c r="C1" s="29"/>
      <c r="D1" s="29"/>
      <c r="E1" s="29"/>
      <c r="F1" s="29"/>
    </row>
    <row r="2" spans="1:6" x14ac:dyDescent="0.2">
      <c r="A2" s="6" t="s">
        <v>72</v>
      </c>
      <c r="B2" s="6" t="s">
        <v>73</v>
      </c>
      <c r="C2" s="6" t="s">
        <v>74</v>
      </c>
      <c r="D2" s="6" t="s">
        <v>75</v>
      </c>
      <c r="E2" s="6" t="s">
        <v>76</v>
      </c>
      <c r="F2" s="6" t="s">
        <v>77</v>
      </c>
    </row>
    <row r="3" spans="1:6" ht="16" customHeight="1" x14ac:dyDescent="0.2">
      <c r="A3" s="12" t="s">
        <v>78</v>
      </c>
      <c r="B3" s="8">
        <v>42000000</v>
      </c>
      <c r="C3" s="8">
        <v>38500000</v>
      </c>
      <c r="D3" s="8">
        <v>18000000</v>
      </c>
      <c r="E3" s="8">
        <v>6500000</v>
      </c>
      <c r="F3" s="8">
        <v>105000000</v>
      </c>
    </row>
    <row r="4" spans="1:6" ht="16" customHeight="1" x14ac:dyDescent="0.2">
      <c r="A4" s="12" t="s">
        <v>79</v>
      </c>
      <c r="B4" s="8">
        <v>-4200000</v>
      </c>
      <c r="C4" s="8">
        <v>-5800000</v>
      </c>
      <c r="D4" s="8">
        <v>-5400000</v>
      </c>
      <c r="E4" s="8">
        <v>-300000</v>
      </c>
      <c r="F4" s="8">
        <v>-15700000</v>
      </c>
    </row>
    <row r="5" spans="1:6" ht="16" customHeight="1" x14ac:dyDescent="0.2">
      <c r="A5" s="7" t="s">
        <v>27</v>
      </c>
      <c r="B5" s="13">
        <v>37800000</v>
      </c>
      <c r="C5" s="13">
        <v>32700000</v>
      </c>
      <c r="D5" s="13">
        <v>12600000</v>
      </c>
      <c r="E5" s="13">
        <v>6200000</v>
      </c>
      <c r="F5" s="13">
        <v>89300000</v>
      </c>
    </row>
    <row r="6" spans="1:6" ht="16" customHeight="1" x14ac:dyDescent="0.2">
      <c r="A6" s="12" t="s">
        <v>80</v>
      </c>
      <c r="B6" s="8">
        <v>-12500000</v>
      </c>
      <c r="C6" s="8">
        <v>-10800000</v>
      </c>
      <c r="D6" s="8">
        <v>-4200000</v>
      </c>
      <c r="E6" s="8">
        <v>-2000000</v>
      </c>
      <c r="F6" s="8">
        <v>-29500000</v>
      </c>
    </row>
    <row r="7" spans="1:6" ht="16" customHeight="1" x14ac:dyDescent="0.2">
      <c r="A7" s="7" t="s">
        <v>35</v>
      </c>
      <c r="B7" s="13">
        <v>25300000</v>
      </c>
      <c r="C7" s="13">
        <v>21900000</v>
      </c>
      <c r="D7" s="13">
        <v>8400000</v>
      </c>
      <c r="E7" s="13">
        <v>4200000</v>
      </c>
      <c r="F7" s="13">
        <v>59800000</v>
      </c>
    </row>
    <row r="8" spans="1:6" ht="16" customHeight="1" x14ac:dyDescent="0.2">
      <c r="A8" s="12" t="s">
        <v>81</v>
      </c>
      <c r="B8" s="8">
        <v>-6500000</v>
      </c>
      <c r="C8" s="8">
        <v>-7000000</v>
      </c>
      <c r="D8" s="8">
        <v>-500000</v>
      </c>
      <c r="E8" s="8">
        <v>-300000</v>
      </c>
      <c r="F8" s="8">
        <v>-14300000</v>
      </c>
    </row>
    <row r="9" spans="1:6" ht="16" customHeight="1" x14ac:dyDescent="0.2">
      <c r="A9" s="12" t="s">
        <v>82</v>
      </c>
      <c r="B9" s="8">
        <v>-1100000</v>
      </c>
      <c r="C9" s="8">
        <v>-4900000</v>
      </c>
      <c r="D9" s="8">
        <v>-1600000</v>
      </c>
      <c r="E9" s="8">
        <v>0</v>
      </c>
      <c r="F9" s="8">
        <v>-7600000</v>
      </c>
    </row>
    <row r="10" spans="1:6" ht="16" customHeight="1" x14ac:dyDescent="0.2">
      <c r="A10" s="12" t="s">
        <v>83</v>
      </c>
      <c r="B10" s="8">
        <v>-2700000</v>
      </c>
      <c r="C10" s="8">
        <v>-5900000</v>
      </c>
      <c r="D10" s="8">
        <v>-800000</v>
      </c>
      <c r="E10" s="8">
        <v>-300000</v>
      </c>
      <c r="F10" s="8">
        <v>-9700000</v>
      </c>
    </row>
    <row r="11" spans="1:6" ht="16" customHeight="1" x14ac:dyDescent="0.2">
      <c r="A11" s="12" t="s">
        <v>84</v>
      </c>
      <c r="B11" s="8">
        <v>-600000</v>
      </c>
      <c r="C11" s="8">
        <v>-900000</v>
      </c>
      <c r="D11" s="8">
        <v>-800000</v>
      </c>
      <c r="E11" s="8">
        <v>-50000</v>
      </c>
      <c r="F11" s="8">
        <v>-2350000</v>
      </c>
    </row>
    <row r="12" spans="1:6" ht="18" customHeight="1" x14ac:dyDescent="0.2">
      <c r="A12" s="7" t="s">
        <v>85</v>
      </c>
      <c r="B12" s="36">
        <f>B7+B8+B9+B10+B11</f>
        <v>14400000</v>
      </c>
      <c r="C12" s="36">
        <f t="shared" ref="C12:F12" si="0">C7+C8+C9+C10+C11</f>
        <v>3200000</v>
      </c>
      <c r="D12" s="36">
        <f t="shared" si="0"/>
        <v>4700000</v>
      </c>
      <c r="E12" s="36">
        <f t="shared" si="0"/>
        <v>3550000</v>
      </c>
      <c r="F12" s="36">
        <f t="shared" si="0"/>
        <v>25850000</v>
      </c>
    </row>
    <row r="13" spans="1:6" ht="18" customHeight="1" x14ac:dyDescent="0.2">
      <c r="A13" s="7" t="s">
        <v>86</v>
      </c>
      <c r="B13" s="34">
        <f>B12/B5</f>
        <v>0.38095238095238093</v>
      </c>
      <c r="C13" s="34">
        <f t="shared" ref="C13:F13" si="1">C12/C5</f>
        <v>9.7859327217125383E-2</v>
      </c>
      <c r="D13" s="34">
        <f t="shared" si="1"/>
        <v>0.37301587301587302</v>
      </c>
      <c r="E13" s="34">
        <f t="shared" si="1"/>
        <v>0.57258064516129037</v>
      </c>
      <c r="F13" s="34">
        <f t="shared" si="1"/>
        <v>0.28947368421052633</v>
      </c>
    </row>
    <row r="15" spans="1:6" ht="20" customHeight="1" x14ac:dyDescent="0.2">
      <c r="A15" s="33" t="s">
        <v>63</v>
      </c>
      <c r="B15" s="29"/>
      <c r="C15" s="29"/>
      <c r="D15" s="29"/>
      <c r="E15" s="29"/>
      <c r="F15" s="29"/>
    </row>
    <row r="16" spans="1:6" ht="22" customHeight="1" x14ac:dyDescent="0.2">
      <c r="A16" s="32" t="s">
        <v>87</v>
      </c>
      <c r="B16" s="29"/>
      <c r="C16" s="29"/>
      <c r="D16" s="29"/>
      <c r="E16" s="29"/>
      <c r="F16" s="29"/>
    </row>
    <row r="17" spans="1:6" ht="22" customHeight="1" x14ac:dyDescent="0.2">
      <c r="A17" s="32" t="s">
        <v>88</v>
      </c>
      <c r="B17" s="29"/>
      <c r="C17" s="29"/>
      <c r="D17" s="29"/>
      <c r="E17" s="29"/>
      <c r="F17" s="29"/>
    </row>
    <row r="18" spans="1:6" ht="22" customHeight="1" x14ac:dyDescent="0.2">
      <c r="A18" s="32" t="s">
        <v>89</v>
      </c>
      <c r="B18" s="29"/>
      <c r="C18" s="29"/>
      <c r="D18" s="29"/>
      <c r="E18" s="29"/>
      <c r="F18" s="29"/>
    </row>
    <row r="20" spans="1:6" ht="18" customHeight="1" x14ac:dyDescent="0.2">
      <c r="A20" s="31" t="s">
        <v>67</v>
      </c>
      <c r="B20" s="29"/>
      <c r="C20" s="29"/>
      <c r="D20" s="29"/>
      <c r="E20" s="29"/>
      <c r="F20" s="29"/>
    </row>
    <row r="21" spans="1:6" ht="30" customHeight="1" x14ac:dyDescent="0.2">
      <c r="A21" s="30" t="s">
        <v>90</v>
      </c>
      <c r="B21" s="29"/>
      <c r="C21" s="29"/>
      <c r="D21" s="29"/>
      <c r="E21" s="29"/>
      <c r="F21" s="29"/>
    </row>
    <row r="22" spans="1:6" ht="34" customHeight="1" x14ac:dyDescent="0.2">
      <c r="A22" s="28" t="s">
        <v>175</v>
      </c>
      <c r="B22" s="29"/>
      <c r="C22" s="29"/>
      <c r="D22" s="29"/>
      <c r="E22" s="29"/>
      <c r="F22" s="29"/>
    </row>
    <row r="23" spans="1:6" ht="18" customHeight="1" x14ac:dyDescent="0.2">
      <c r="A23" s="28"/>
      <c r="B23" s="29"/>
      <c r="C23" s="29"/>
      <c r="D23" s="29"/>
      <c r="E23" s="29"/>
      <c r="F23" s="29"/>
    </row>
    <row r="24" spans="1:6" ht="18" customHeight="1" x14ac:dyDescent="0.2">
      <c r="A24" s="28"/>
      <c r="B24" s="29"/>
      <c r="C24" s="29"/>
      <c r="D24" s="29"/>
      <c r="E24" s="29"/>
      <c r="F24" s="29"/>
    </row>
    <row r="25" spans="1:6" ht="18" customHeight="1" x14ac:dyDescent="0.2">
      <c r="A25" s="28"/>
      <c r="B25" s="29"/>
      <c r="C25" s="29"/>
      <c r="D25" s="29"/>
      <c r="E25" s="29"/>
      <c r="F25" s="29"/>
    </row>
    <row r="27" spans="1:6" ht="30" customHeight="1" x14ac:dyDescent="0.2">
      <c r="A27" s="30" t="s">
        <v>91</v>
      </c>
      <c r="B27" s="29"/>
      <c r="C27" s="29"/>
      <c r="D27" s="29"/>
      <c r="E27" s="29"/>
      <c r="F27" s="29"/>
    </row>
    <row r="28" spans="1:6" ht="52" customHeight="1" x14ac:dyDescent="0.2">
      <c r="A28" s="28" t="s">
        <v>176</v>
      </c>
      <c r="B28" s="29"/>
      <c r="C28" s="29"/>
      <c r="D28" s="29"/>
      <c r="E28" s="29"/>
      <c r="F28" s="29"/>
    </row>
    <row r="29" spans="1:6" ht="18" customHeight="1" x14ac:dyDescent="0.2">
      <c r="A29" s="28"/>
      <c r="B29" s="29"/>
      <c r="C29" s="29"/>
      <c r="D29" s="29"/>
      <c r="E29" s="29"/>
      <c r="F29" s="29"/>
    </row>
    <row r="30" spans="1:6" ht="18" customHeight="1" x14ac:dyDescent="0.2">
      <c r="A30" s="28"/>
      <c r="B30" s="29"/>
      <c r="C30" s="29"/>
      <c r="D30" s="29"/>
      <c r="E30" s="29"/>
      <c r="F30" s="29"/>
    </row>
    <row r="31" spans="1:6" ht="18" customHeight="1" x14ac:dyDescent="0.2">
      <c r="A31" s="28"/>
      <c r="B31" s="29"/>
      <c r="C31" s="29"/>
      <c r="D31" s="29"/>
      <c r="E31" s="29"/>
      <c r="F31" s="29"/>
    </row>
    <row r="33" spans="1:6" ht="30" customHeight="1" x14ac:dyDescent="0.2">
      <c r="A33" s="30" t="s">
        <v>92</v>
      </c>
      <c r="B33" s="29"/>
      <c r="C33" s="29"/>
      <c r="D33" s="29"/>
      <c r="E33" s="29"/>
      <c r="F33" s="29"/>
    </row>
    <row r="34" spans="1:6" ht="44" customHeight="1" x14ac:dyDescent="0.2">
      <c r="A34" s="28" t="s">
        <v>177</v>
      </c>
      <c r="B34" s="29"/>
      <c r="C34" s="29"/>
      <c r="D34" s="29"/>
      <c r="E34" s="29"/>
      <c r="F34" s="29"/>
    </row>
    <row r="35" spans="1:6" ht="18" customHeight="1" x14ac:dyDescent="0.2">
      <c r="A35" s="28"/>
      <c r="B35" s="29"/>
      <c r="C35" s="29"/>
      <c r="D35" s="29"/>
      <c r="E35" s="29"/>
      <c r="F35" s="29"/>
    </row>
    <row r="36" spans="1:6" ht="18" customHeight="1" x14ac:dyDescent="0.2">
      <c r="A36" s="28"/>
      <c r="B36" s="29"/>
      <c r="C36" s="29"/>
      <c r="D36" s="29"/>
      <c r="E36" s="29"/>
      <c r="F36" s="29"/>
    </row>
    <row r="37" spans="1:6" ht="18" customHeight="1" x14ac:dyDescent="0.2">
      <c r="A37" s="28"/>
      <c r="B37" s="29"/>
      <c r="C37" s="29"/>
      <c r="D37" s="29"/>
      <c r="E37" s="29"/>
      <c r="F37" s="29"/>
    </row>
  </sheetData>
  <mergeCells count="21">
    <mergeCell ref="A15:F15"/>
    <mergeCell ref="A24:F24"/>
    <mergeCell ref="A36:F36"/>
    <mergeCell ref="A1:F1"/>
    <mergeCell ref="A25:F25"/>
    <mergeCell ref="A16:F16"/>
    <mergeCell ref="A37:F37"/>
    <mergeCell ref="A27:F27"/>
    <mergeCell ref="A18:F18"/>
    <mergeCell ref="A21:F21"/>
    <mergeCell ref="A33:F33"/>
    <mergeCell ref="A23:F23"/>
    <mergeCell ref="A22:F22"/>
    <mergeCell ref="A17:F17"/>
    <mergeCell ref="A35:F35"/>
    <mergeCell ref="A20:F20"/>
    <mergeCell ref="A29:F29"/>
    <mergeCell ref="A28:F28"/>
    <mergeCell ref="A31:F31"/>
    <mergeCell ref="A34:F34"/>
    <mergeCell ref="A30:F3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
  <sheetViews>
    <sheetView zoomScale="230" zoomScaleNormal="230" workbookViewId="0">
      <pane ySplit="2" topLeftCell="A27" activePane="bottomLeft" state="frozen"/>
      <selection pane="bottomLeft" activeCell="F41" sqref="F41"/>
    </sheetView>
  </sheetViews>
  <sheetFormatPr baseColWidth="10" defaultColWidth="8.83203125" defaultRowHeight="15" x14ac:dyDescent="0.2"/>
  <cols>
    <col min="1" max="1" width="22" customWidth="1"/>
    <col min="2" max="2" width="10" customWidth="1"/>
    <col min="3" max="5" width="8" customWidth="1"/>
    <col min="6" max="6" width="15" customWidth="1"/>
    <col min="7" max="7" width="10" customWidth="1"/>
    <col min="8" max="8" width="13.83203125" customWidth="1"/>
    <col min="9" max="9" width="14" customWidth="1"/>
    <col min="10" max="10" width="17.6640625" customWidth="1"/>
    <col min="11" max="12" width="14" customWidth="1"/>
  </cols>
  <sheetData>
    <row r="1" spans="1:16" ht="20" customHeight="1" x14ac:dyDescent="0.2">
      <c r="A1" s="33" t="s">
        <v>93</v>
      </c>
      <c r="B1" s="29"/>
      <c r="C1" s="29"/>
      <c r="D1" s="29"/>
      <c r="E1" s="29"/>
      <c r="F1" s="29"/>
      <c r="G1" s="29"/>
      <c r="H1" s="29"/>
      <c r="I1" s="29"/>
      <c r="J1" s="29"/>
      <c r="K1" s="29"/>
      <c r="L1" s="29"/>
    </row>
    <row r="2" spans="1:16" ht="45" x14ac:dyDescent="0.2">
      <c r="A2" s="6" t="s">
        <v>94</v>
      </c>
      <c r="B2" s="6" t="s">
        <v>95</v>
      </c>
      <c r="C2" s="6" t="s">
        <v>96</v>
      </c>
      <c r="D2" s="6" t="s">
        <v>97</v>
      </c>
      <c r="E2" s="6" t="s">
        <v>98</v>
      </c>
      <c r="F2" s="6" t="s">
        <v>99</v>
      </c>
      <c r="G2" s="6" t="s">
        <v>100</v>
      </c>
      <c r="H2" s="6" t="s">
        <v>101</v>
      </c>
      <c r="I2" s="6" t="s">
        <v>102</v>
      </c>
      <c r="J2" s="6" t="s">
        <v>103</v>
      </c>
      <c r="K2" s="6" t="s">
        <v>104</v>
      </c>
      <c r="L2" s="6" t="s">
        <v>105</v>
      </c>
    </row>
    <row r="3" spans="1:16" ht="20" customHeight="1" x14ac:dyDescent="0.2">
      <c r="A3" s="14" t="s">
        <v>106</v>
      </c>
      <c r="B3" s="14" t="s">
        <v>107</v>
      </c>
      <c r="C3" s="15">
        <v>35000</v>
      </c>
      <c r="D3" s="8">
        <v>695</v>
      </c>
      <c r="E3" s="16">
        <v>0.09</v>
      </c>
      <c r="F3" s="37">
        <f>D3*(1-E3)</f>
        <v>632.45000000000005</v>
      </c>
      <c r="G3" s="8">
        <v>140</v>
      </c>
      <c r="H3" s="38">
        <f>4100000/C3</f>
        <v>117.14285714285714</v>
      </c>
      <c r="I3" s="38">
        <f>700000/C3</f>
        <v>20</v>
      </c>
      <c r="J3" s="38">
        <f>1100000/C3</f>
        <v>31.428571428571427</v>
      </c>
      <c r="K3" s="40">
        <f>F3-H3-I3-J3-G3</f>
        <v>323.87857142857149</v>
      </c>
      <c r="L3" s="34">
        <f>K3/F3</f>
        <v>0.5121014648250003</v>
      </c>
    </row>
    <row r="4" spans="1:16" ht="20" customHeight="1" x14ac:dyDescent="0.2">
      <c r="A4" s="14" t="s">
        <v>106</v>
      </c>
      <c r="B4" s="14" t="s">
        <v>74</v>
      </c>
      <c r="C4" s="15">
        <v>28000</v>
      </c>
      <c r="D4" s="8">
        <v>599</v>
      </c>
      <c r="E4" s="16">
        <v>0.14000000000000001</v>
      </c>
      <c r="F4" s="37">
        <f t="shared" ref="F4:F10" si="0">D4*(1-E4)</f>
        <v>515.14</v>
      </c>
      <c r="G4" s="8">
        <v>140</v>
      </c>
      <c r="H4" s="38">
        <v>135.71428571428572</v>
      </c>
      <c r="I4" s="38">
        <v>178.57142857142858</v>
      </c>
      <c r="J4" s="38">
        <v>121.42857142857143</v>
      </c>
      <c r="K4" s="40">
        <f t="shared" ref="K4:K10" si="1">F4-H4-I4-J4-G4</f>
        <v>-60.57428571428575</v>
      </c>
      <c r="L4" s="34">
        <f t="shared" ref="L4:L10" si="2">K4/F4</f>
        <v>-0.11758800658905492</v>
      </c>
      <c r="N4" s="38"/>
      <c r="O4" s="38"/>
      <c r="P4" s="38"/>
    </row>
    <row r="5" spans="1:16" ht="20" customHeight="1" x14ac:dyDescent="0.2">
      <c r="A5" s="14" t="s">
        <v>106</v>
      </c>
      <c r="B5" s="14" t="s">
        <v>75</v>
      </c>
      <c r="C5" s="15">
        <v>12000</v>
      </c>
      <c r="D5" s="8">
        <v>449</v>
      </c>
      <c r="E5" s="16">
        <v>0.28000000000000003</v>
      </c>
      <c r="F5" s="37">
        <f t="shared" si="0"/>
        <v>323.27999999999997</v>
      </c>
      <c r="G5" s="8">
        <v>120</v>
      </c>
      <c r="H5" s="38">
        <v>16.666666666666668</v>
      </c>
      <c r="I5" s="38">
        <v>58.333333333333336</v>
      </c>
      <c r="J5" s="38">
        <v>25</v>
      </c>
      <c r="K5" s="40">
        <f t="shared" si="1"/>
        <v>103.27999999999994</v>
      </c>
      <c r="L5" s="34">
        <f t="shared" si="2"/>
        <v>0.31947537738183601</v>
      </c>
      <c r="N5" s="38"/>
      <c r="O5" s="38"/>
      <c r="P5" s="38"/>
    </row>
    <row r="6" spans="1:16" ht="20" customHeight="1" x14ac:dyDescent="0.2">
      <c r="A6" s="14" t="s">
        <v>108</v>
      </c>
      <c r="B6" s="14" t="s">
        <v>107</v>
      </c>
      <c r="C6" s="15">
        <v>18000</v>
      </c>
      <c r="D6" s="8">
        <v>399</v>
      </c>
      <c r="E6" s="16">
        <v>0.11</v>
      </c>
      <c r="F6" s="37">
        <f t="shared" si="0"/>
        <v>355.11</v>
      </c>
      <c r="G6" s="8">
        <v>85</v>
      </c>
      <c r="H6" s="38">
        <v>83.333333333333329</v>
      </c>
      <c r="I6" s="38">
        <v>11.111111111111111</v>
      </c>
      <c r="J6" s="38">
        <v>27.777777777777779</v>
      </c>
      <c r="K6" s="40">
        <f t="shared" si="1"/>
        <v>147.88777777777784</v>
      </c>
      <c r="L6" s="34">
        <f t="shared" si="2"/>
        <v>0.41645624673418896</v>
      </c>
      <c r="N6" s="38"/>
      <c r="O6" s="38"/>
      <c r="P6" s="38"/>
    </row>
    <row r="7" spans="1:16" ht="20" customHeight="1" x14ac:dyDescent="0.2">
      <c r="A7" s="14" t="s">
        <v>108</v>
      </c>
      <c r="B7" s="14" t="s">
        <v>74</v>
      </c>
      <c r="C7" s="15">
        <v>22000</v>
      </c>
      <c r="D7" s="8">
        <v>349</v>
      </c>
      <c r="E7" s="16">
        <v>0.15</v>
      </c>
      <c r="F7" s="37">
        <f t="shared" si="0"/>
        <v>296.64999999999998</v>
      </c>
      <c r="G7" s="8">
        <v>85</v>
      </c>
      <c r="H7" s="38">
        <v>90.909090909090907</v>
      </c>
      <c r="I7" s="38">
        <v>104.54545454545455</v>
      </c>
      <c r="J7" s="38">
        <v>95.454545454545453</v>
      </c>
      <c r="K7" s="40">
        <f t="shared" si="1"/>
        <v>-79.259090909090929</v>
      </c>
      <c r="L7" s="34">
        <f t="shared" si="2"/>
        <v>-0.26718048511407699</v>
      </c>
      <c r="N7" s="38"/>
      <c r="O7" s="38"/>
      <c r="P7" s="38"/>
    </row>
    <row r="8" spans="1:16" ht="20" customHeight="1" x14ac:dyDescent="0.2">
      <c r="A8" s="14" t="s">
        <v>109</v>
      </c>
      <c r="B8" s="14" t="s">
        <v>107</v>
      </c>
      <c r="C8" s="15">
        <v>45000</v>
      </c>
      <c r="D8" s="8">
        <v>39</v>
      </c>
      <c r="E8" s="16">
        <v>0.03</v>
      </c>
      <c r="F8" s="37">
        <f t="shared" si="0"/>
        <v>37.83</v>
      </c>
      <c r="G8" s="8">
        <v>6</v>
      </c>
      <c r="H8" s="38">
        <v>2.2222222222222223</v>
      </c>
      <c r="I8" s="38">
        <v>1.1111111111111112</v>
      </c>
      <c r="J8" s="38">
        <v>6.666666666666667</v>
      </c>
      <c r="K8" s="40">
        <f t="shared" si="1"/>
        <v>21.829999999999995</v>
      </c>
      <c r="L8" s="34">
        <f t="shared" si="2"/>
        <v>0.57705524715833978</v>
      </c>
      <c r="N8" s="38"/>
      <c r="O8" s="38"/>
      <c r="P8" s="38"/>
    </row>
    <row r="9" spans="1:16" ht="20" customHeight="1" x14ac:dyDescent="0.2">
      <c r="A9" s="14" t="s">
        <v>109</v>
      </c>
      <c r="B9" s="14" t="s">
        <v>74</v>
      </c>
      <c r="C9" s="15">
        <v>30000</v>
      </c>
      <c r="D9" s="8">
        <v>35</v>
      </c>
      <c r="E9" s="16">
        <v>0.05</v>
      </c>
      <c r="F9" s="37">
        <f t="shared" si="0"/>
        <v>33.25</v>
      </c>
      <c r="G9" s="8">
        <v>6</v>
      </c>
      <c r="H9" s="38">
        <v>6.666666666666667</v>
      </c>
      <c r="I9" s="38">
        <v>10</v>
      </c>
      <c r="J9" s="38">
        <v>6.666666666666667</v>
      </c>
      <c r="K9" s="40">
        <f t="shared" si="1"/>
        <v>3.9166666666666643</v>
      </c>
      <c r="L9" s="34">
        <f t="shared" si="2"/>
        <v>0.11779448621553877</v>
      </c>
      <c r="N9" s="38"/>
      <c r="O9" s="38"/>
      <c r="P9" s="38"/>
    </row>
    <row r="10" spans="1:16" ht="20" customHeight="1" x14ac:dyDescent="0.2">
      <c r="A10" s="14" t="s">
        <v>110</v>
      </c>
      <c r="B10" s="14" t="s">
        <v>107</v>
      </c>
      <c r="C10" s="15">
        <v>25000</v>
      </c>
      <c r="D10" s="8">
        <v>49</v>
      </c>
      <c r="E10" s="16">
        <v>0.05</v>
      </c>
      <c r="F10" s="37">
        <f t="shared" si="0"/>
        <v>46.55</v>
      </c>
      <c r="G10" s="8">
        <v>8</v>
      </c>
      <c r="H10" s="38">
        <v>4</v>
      </c>
      <c r="I10" s="38">
        <v>1.6</v>
      </c>
      <c r="J10" s="38">
        <v>8</v>
      </c>
      <c r="K10" s="40">
        <f t="shared" si="1"/>
        <v>24.949999999999996</v>
      </c>
      <c r="L10" s="34">
        <f t="shared" si="2"/>
        <v>0.53598281417830285</v>
      </c>
      <c r="N10" s="38"/>
      <c r="O10" s="38"/>
      <c r="P10" s="38"/>
    </row>
    <row r="12" spans="1:16" ht="20" customHeight="1" x14ac:dyDescent="0.2">
      <c r="A12" s="33" t="s">
        <v>63</v>
      </c>
      <c r="B12" s="29"/>
      <c r="C12" s="29"/>
      <c r="D12" s="29"/>
      <c r="E12" s="29"/>
      <c r="F12" s="29"/>
      <c r="G12" s="29"/>
      <c r="H12" s="29"/>
      <c r="I12" s="29"/>
      <c r="J12" s="29"/>
      <c r="K12" s="29"/>
      <c r="L12" s="29"/>
      <c r="N12" s="39"/>
      <c r="O12" s="39"/>
      <c r="P12" s="39"/>
    </row>
    <row r="13" spans="1:16" ht="18" customHeight="1" x14ac:dyDescent="0.2">
      <c r="A13" s="32" t="s">
        <v>111</v>
      </c>
      <c r="B13" s="29"/>
      <c r="C13" s="29"/>
      <c r="D13" s="29"/>
      <c r="E13" s="29"/>
      <c r="F13" s="29"/>
      <c r="G13" s="29"/>
      <c r="H13" s="29"/>
      <c r="I13" s="29"/>
      <c r="J13" s="29"/>
      <c r="K13" s="29"/>
      <c r="L13" s="29"/>
      <c r="N13" s="39"/>
      <c r="O13" s="39"/>
      <c r="P13" s="39"/>
    </row>
    <row r="14" spans="1:16" ht="18" customHeight="1" x14ac:dyDescent="0.2">
      <c r="A14" s="32" t="s">
        <v>112</v>
      </c>
      <c r="B14" s="29"/>
      <c r="C14" s="29"/>
      <c r="D14" s="29"/>
      <c r="E14" s="29"/>
      <c r="F14" s="29"/>
      <c r="G14" s="29"/>
      <c r="H14" s="29"/>
      <c r="I14" s="29"/>
      <c r="J14" s="29"/>
      <c r="K14" s="29"/>
      <c r="L14" s="29"/>
      <c r="N14" s="39"/>
      <c r="O14" s="39"/>
      <c r="P14" s="39"/>
    </row>
    <row r="15" spans="1:16" ht="18" customHeight="1" x14ac:dyDescent="0.2">
      <c r="A15" s="32" t="s">
        <v>113</v>
      </c>
      <c r="B15" s="29"/>
      <c r="C15" s="29"/>
      <c r="D15" s="29"/>
      <c r="E15" s="29"/>
      <c r="F15" s="29"/>
      <c r="G15" s="29"/>
      <c r="H15" s="29"/>
      <c r="I15" s="29"/>
      <c r="J15" s="29"/>
      <c r="K15" s="29"/>
      <c r="L15" s="29"/>
      <c r="N15" s="39"/>
      <c r="O15" s="39"/>
      <c r="P15" s="39"/>
    </row>
    <row r="16" spans="1:16" ht="18" customHeight="1" x14ac:dyDescent="0.2">
      <c r="A16" s="32" t="s">
        <v>114</v>
      </c>
      <c r="B16" s="29"/>
      <c r="C16" s="29"/>
      <c r="D16" s="29"/>
      <c r="E16" s="29"/>
      <c r="F16" s="29"/>
      <c r="G16" s="29"/>
      <c r="H16" s="29"/>
      <c r="I16" s="29"/>
      <c r="J16" s="29"/>
      <c r="K16" s="29"/>
      <c r="L16" s="29"/>
      <c r="N16" s="39"/>
      <c r="O16" s="39"/>
      <c r="P16" s="39"/>
    </row>
    <row r="17" spans="1:16" ht="18" customHeight="1" x14ac:dyDescent="0.2">
      <c r="A17" s="32" t="s">
        <v>115</v>
      </c>
      <c r="B17" s="29"/>
      <c r="C17" s="29"/>
      <c r="D17" s="29"/>
      <c r="E17" s="29"/>
      <c r="F17" s="29"/>
      <c r="G17" s="29"/>
      <c r="H17" s="29"/>
      <c r="I17" s="29"/>
      <c r="J17" s="29"/>
      <c r="K17" s="29"/>
      <c r="L17" s="29"/>
      <c r="N17" s="39"/>
      <c r="O17" s="39"/>
      <c r="P17" s="39"/>
    </row>
    <row r="18" spans="1:16" ht="18" customHeight="1" x14ac:dyDescent="0.2">
      <c r="A18" s="32" t="s">
        <v>116</v>
      </c>
      <c r="B18" s="29"/>
      <c r="C18" s="29"/>
      <c r="D18" s="29"/>
      <c r="E18" s="29"/>
      <c r="F18" s="29"/>
      <c r="G18" s="29"/>
      <c r="H18" s="29"/>
      <c r="I18" s="29"/>
      <c r="J18" s="29"/>
      <c r="K18" s="29"/>
      <c r="L18" s="29"/>
      <c r="N18" s="39"/>
      <c r="O18" s="39"/>
      <c r="P18" s="39"/>
    </row>
    <row r="20" spans="1:16" ht="18" customHeight="1" x14ac:dyDescent="0.2">
      <c r="A20" s="31" t="s">
        <v>67</v>
      </c>
      <c r="B20" s="29"/>
      <c r="C20" s="29"/>
      <c r="D20" s="29"/>
      <c r="E20" s="29"/>
      <c r="F20" s="29"/>
      <c r="G20" s="29"/>
      <c r="H20" s="29"/>
      <c r="I20" s="29"/>
      <c r="J20" s="29"/>
      <c r="K20" s="29"/>
      <c r="L20" s="29"/>
    </row>
    <row r="21" spans="1:16" ht="30" customHeight="1" x14ac:dyDescent="0.2">
      <c r="A21" s="30" t="s">
        <v>117</v>
      </c>
      <c r="B21" s="29"/>
      <c r="C21" s="29"/>
      <c r="D21" s="29"/>
      <c r="E21" s="29"/>
      <c r="F21" s="29"/>
      <c r="G21" s="29"/>
      <c r="H21" s="29"/>
      <c r="I21" s="29"/>
      <c r="J21" s="29"/>
      <c r="K21" s="29"/>
      <c r="L21" s="29"/>
    </row>
    <row r="22" spans="1:16" ht="29" customHeight="1" x14ac:dyDescent="0.2">
      <c r="A22" s="28" t="s">
        <v>178</v>
      </c>
      <c r="B22" s="29"/>
      <c r="C22" s="29"/>
      <c r="D22" s="29"/>
      <c r="E22" s="29"/>
      <c r="F22" s="29"/>
      <c r="G22" s="29"/>
      <c r="H22" s="29"/>
      <c r="I22" s="29"/>
      <c r="J22" s="29"/>
      <c r="K22" s="29"/>
      <c r="L22" s="29"/>
    </row>
    <row r="23" spans="1:16" ht="18" customHeight="1" x14ac:dyDescent="0.2">
      <c r="A23" s="28"/>
      <c r="B23" s="29"/>
      <c r="C23" s="29"/>
      <c r="D23" s="29"/>
      <c r="E23" s="29"/>
      <c r="F23" s="29"/>
      <c r="G23" s="29"/>
      <c r="H23" s="29"/>
      <c r="I23" s="29"/>
      <c r="J23" s="29"/>
      <c r="K23" s="29"/>
      <c r="L23" s="29"/>
    </row>
    <row r="24" spans="1:16" ht="18" customHeight="1" x14ac:dyDescent="0.2">
      <c r="A24" s="28"/>
      <c r="B24" s="29"/>
      <c r="C24" s="29"/>
      <c r="D24" s="29"/>
      <c r="E24" s="29"/>
      <c r="F24" s="29"/>
      <c r="G24" s="29"/>
      <c r="H24" s="29"/>
      <c r="I24" s="29"/>
      <c r="J24" s="29"/>
      <c r="K24" s="29"/>
      <c r="L24" s="29"/>
    </row>
    <row r="25" spans="1:16" ht="18" customHeight="1" x14ac:dyDescent="0.2">
      <c r="A25" s="28"/>
      <c r="B25" s="29"/>
      <c r="C25" s="29"/>
      <c r="D25" s="29"/>
      <c r="E25" s="29"/>
      <c r="F25" s="29"/>
      <c r="G25" s="29"/>
      <c r="H25" s="29"/>
      <c r="I25" s="29"/>
      <c r="J25" s="29"/>
      <c r="K25" s="29"/>
      <c r="L25" s="29"/>
    </row>
    <row r="27" spans="1:16" ht="30" customHeight="1" x14ac:dyDescent="0.2">
      <c r="A27" s="30" t="s">
        <v>118</v>
      </c>
      <c r="B27" s="29"/>
      <c r="C27" s="29"/>
      <c r="D27" s="29"/>
      <c r="E27" s="29"/>
      <c r="F27" s="29"/>
      <c r="G27" s="29"/>
      <c r="H27" s="29"/>
      <c r="I27" s="29"/>
      <c r="J27" s="29"/>
      <c r="K27" s="29"/>
      <c r="L27" s="29"/>
    </row>
    <row r="28" spans="1:16" ht="44" customHeight="1" x14ac:dyDescent="0.2">
      <c r="A28" s="28" t="s">
        <v>179</v>
      </c>
      <c r="B28" s="29"/>
      <c r="C28" s="29"/>
      <c r="D28" s="29"/>
      <c r="E28" s="29"/>
      <c r="F28" s="29"/>
      <c r="G28" s="29"/>
      <c r="H28" s="29"/>
      <c r="I28" s="29"/>
      <c r="J28" s="29"/>
      <c r="K28" s="29"/>
      <c r="L28" s="29"/>
    </row>
    <row r="29" spans="1:16" ht="18" customHeight="1" x14ac:dyDescent="0.2">
      <c r="A29" s="28"/>
      <c r="B29" s="29"/>
      <c r="C29" s="29"/>
      <c r="D29" s="29"/>
      <c r="E29" s="29"/>
      <c r="F29" s="29"/>
      <c r="G29" s="29"/>
      <c r="H29" s="29"/>
      <c r="I29" s="29"/>
      <c r="J29" s="29"/>
      <c r="K29" s="29"/>
      <c r="L29" s="29"/>
    </row>
    <row r="30" spans="1:16" ht="18" customHeight="1" x14ac:dyDescent="0.2">
      <c r="A30" s="28"/>
      <c r="B30" s="29"/>
      <c r="C30" s="29"/>
      <c r="D30" s="29"/>
      <c r="E30" s="29"/>
      <c r="F30" s="29"/>
      <c r="G30" s="29"/>
      <c r="H30" s="29"/>
      <c r="I30" s="29"/>
      <c r="J30" s="29"/>
      <c r="K30" s="29"/>
      <c r="L30" s="29"/>
    </row>
    <row r="31" spans="1:16" ht="18" customHeight="1" x14ac:dyDescent="0.2">
      <c r="A31" s="28"/>
      <c r="B31" s="29"/>
      <c r="C31" s="29"/>
      <c r="D31" s="29"/>
      <c r="E31" s="29"/>
      <c r="F31" s="29"/>
      <c r="G31" s="29"/>
      <c r="H31" s="29"/>
      <c r="I31" s="29"/>
      <c r="J31" s="29"/>
      <c r="K31" s="29"/>
      <c r="L31" s="29"/>
    </row>
    <row r="33" spans="1:12" ht="30" customHeight="1" x14ac:dyDescent="0.2">
      <c r="A33" s="30" t="s">
        <v>119</v>
      </c>
      <c r="B33" s="29"/>
      <c r="C33" s="29"/>
      <c r="D33" s="29"/>
      <c r="E33" s="29"/>
      <c r="F33" s="29"/>
      <c r="G33" s="29"/>
      <c r="H33" s="29"/>
      <c r="I33" s="29"/>
      <c r="J33" s="29"/>
      <c r="K33" s="29"/>
      <c r="L33" s="29"/>
    </row>
    <row r="34" spans="1:12" ht="43" customHeight="1" x14ac:dyDescent="0.2">
      <c r="A34" s="28" t="s">
        <v>180</v>
      </c>
      <c r="B34" s="29"/>
      <c r="C34" s="29"/>
      <c r="D34" s="29"/>
      <c r="E34" s="29"/>
      <c r="F34" s="29"/>
      <c r="G34" s="29"/>
      <c r="H34" s="29"/>
      <c r="I34" s="29"/>
      <c r="J34" s="29"/>
      <c r="K34" s="29"/>
      <c r="L34" s="29"/>
    </row>
    <row r="35" spans="1:12" ht="18" customHeight="1" x14ac:dyDescent="0.2">
      <c r="A35" s="28"/>
      <c r="B35" s="29"/>
      <c r="C35" s="29"/>
      <c r="D35" s="29"/>
      <c r="E35" s="29"/>
      <c r="F35" s="29"/>
      <c r="G35" s="29"/>
      <c r="H35" s="29"/>
      <c r="I35" s="29"/>
      <c r="J35" s="29"/>
      <c r="K35" s="29"/>
      <c r="L35" s="29"/>
    </row>
    <row r="36" spans="1:12" ht="18" customHeight="1" x14ac:dyDescent="0.2">
      <c r="A36" s="28"/>
      <c r="B36" s="29"/>
      <c r="C36" s="29"/>
      <c r="D36" s="29"/>
      <c r="E36" s="29"/>
      <c r="F36" s="29"/>
      <c r="G36" s="29"/>
      <c r="H36" s="29"/>
      <c r="I36" s="29"/>
      <c r="J36" s="29"/>
      <c r="K36" s="29"/>
      <c r="L36" s="29"/>
    </row>
    <row r="37" spans="1:12" ht="18" customHeight="1" x14ac:dyDescent="0.2">
      <c r="A37" s="28"/>
      <c r="B37" s="29"/>
      <c r="C37" s="29"/>
      <c r="D37" s="29"/>
      <c r="E37" s="29"/>
      <c r="F37" s="29"/>
      <c r="G37" s="29"/>
      <c r="H37" s="29"/>
      <c r="I37" s="29"/>
      <c r="J37" s="29"/>
      <c r="K37" s="29"/>
      <c r="L37" s="29"/>
    </row>
  </sheetData>
  <mergeCells count="24">
    <mergeCell ref="A1:L1"/>
    <mergeCell ref="A36:L36"/>
    <mergeCell ref="A12:L12"/>
    <mergeCell ref="A33:L33"/>
    <mergeCell ref="A23:L23"/>
    <mergeCell ref="A14:L14"/>
    <mergeCell ref="A22:L22"/>
    <mergeCell ref="A17:L17"/>
    <mergeCell ref="A20:L20"/>
    <mergeCell ref="A29:L29"/>
    <mergeCell ref="A28:L28"/>
    <mergeCell ref="A13:L13"/>
    <mergeCell ref="A31:L31"/>
    <mergeCell ref="A24:L24"/>
    <mergeCell ref="A30:L30"/>
    <mergeCell ref="A15:L15"/>
    <mergeCell ref="A16:L16"/>
    <mergeCell ref="A25:L25"/>
    <mergeCell ref="A37:L37"/>
    <mergeCell ref="A18:L18"/>
    <mergeCell ref="A27:L27"/>
    <mergeCell ref="A21:L21"/>
    <mergeCell ref="A35:L35"/>
    <mergeCell ref="A34:L3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6"/>
  <sheetViews>
    <sheetView tabSelected="1" zoomScale="231" zoomScaleNormal="231" workbookViewId="0">
      <pane ySplit="2" topLeftCell="A19" activePane="bottomLeft" state="frozen"/>
      <selection pane="bottomLeft" activeCell="A43" sqref="A43:J43"/>
    </sheetView>
  </sheetViews>
  <sheetFormatPr baseColWidth="10" defaultColWidth="8.83203125" defaultRowHeight="15" x14ac:dyDescent="0.2"/>
  <cols>
    <col min="1" max="5" width="12" customWidth="1"/>
    <col min="6" max="7" width="14" customWidth="1"/>
    <col min="8" max="8" width="22.1640625" customWidth="1"/>
    <col min="9" max="9" width="57.6640625" customWidth="1"/>
    <col min="10" max="10" width="16" customWidth="1"/>
  </cols>
  <sheetData>
    <row r="1" spans="1:10" ht="20" customHeight="1" x14ac:dyDescent="0.2">
      <c r="A1" s="33" t="s">
        <v>120</v>
      </c>
      <c r="B1" s="29"/>
      <c r="C1" s="29"/>
      <c r="D1" s="29"/>
      <c r="E1" s="29"/>
      <c r="F1" s="29"/>
      <c r="G1" s="29"/>
      <c r="H1" s="29"/>
      <c r="I1" s="29"/>
      <c r="J1" s="29"/>
    </row>
    <row r="2" spans="1:10" ht="30" x14ac:dyDescent="0.2">
      <c r="A2" s="6" t="s">
        <v>121</v>
      </c>
      <c r="B2" s="6" t="s">
        <v>122</v>
      </c>
      <c r="C2" s="6" t="s">
        <v>123</v>
      </c>
      <c r="D2" s="6" t="s">
        <v>124</v>
      </c>
      <c r="E2" s="6" t="s">
        <v>125</v>
      </c>
      <c r="F2" s="6" t="s">
        <v>126</v>
      </c>
      <c r="G2" s="6" t="s">
        <v>127</v>
      </c>
      <c r="H2" s="6" t="s">
        <v>128</v>
      </c>
      <c r="I2" s="6" t="s">
        <v>129</v>
      </c>
      <c r="J2" s="6" t="s">
        <v>130</v>
      </c>
    </row>
    <row r="3" spans="1:10" ht="18" customHeight="1" x14ac:dyDescent="0.2">
      <c r="A3" s="12" t="s">
        <v>131</v>
      </c>
      <c r="B3" s="17">
        <v>3200</v>
      </c>
      <c r="C3" s="17">
        <v>2800</v>
      </c>
      <c r="D3" s="17">
        <v>4500</v>
      </c>
      <c r="E3" s="17">
        <v>1800</v>
      </c>
      <c r="F3" s="17">
        <v>12300</v>
      </c>
      <c r="G3" s="18">
        <v>4800000</v>
      </c>
      <c r="H3" s="37">
        <f>1.65*G3</f>
        <v>7920000</v>
      </c>
      <c r="I3" s="19" t="s">
        <v>183</v>
      </c>
      <c r="J3" s="19"/>
    </row>
    <row r="4" spans="1:10" ht="18" customHeight="1" x14ac:dyDescent="0.2">
      <c r="A4" s="20" t="s">
        <v>132</v>
      </c>
      <c r="B4" s="21">
        <v>3000</v>
      </c>
      <c r="C4" s="21">
        <v>2600</v>
      </c>
      <c r="D4" s="21">
        <v>4200</v>
      </c>
      <c r="E4" s="21">
        <v>1600</v>
      </c>
      <c r="F4" s="21">
        <v>11400</v>
      </c>
      <c r="G4" s="22">
        <v>4500000</v>
      </c>
      <c r="H4" s="37">
        <f t="shared" ref="H4:H14" si="0">1.65*G4</f>
        <v>7425000</v>
      </c>
      <c r="I4" s="19" t="s">
        <v>183</v>
      </c>
      <c r="J4" s="19"/>
    </row>
    <row r="5" spans="1:10" ht="18" customHeight="1" x14ac:dyDescent="0.2">
      <c r="A5" s="12" t="s">
        <v>133</v>
      </c>
      <c r="B5" s="17">
        <v>3400</v>
      </c>
      <c r="C5" s="17">
        <v>3000</v>
      </c>
      <c r="D5" s="17">
        <v>4800</v>
      </c>
      <c r="E5" s="17">
        <v>1900</v>
      </c>
      <c r="F5" s="17">
        <v>13100</v>
      </c>
      <c r="G5" s="18">
        <v>5100000</v>
      </c>
      <c r="H5" s="37">
        <f t="shared" si="0"/>
        <v>8415000</v>
      </c>
      <c r="I5" s="19" t="s">
        <v>183</v>
      </c>
      <c r="J5" s="19"/>
    </row>
    <row r="6" spans="1:10" ht="18" customHeight="1" x14ac:dyDescent="0.2">
      <c r="A6" s="20" t="s">
        <v>134</v>
      </c>
      <c r="B6" s="21">
        <v>3800</v>
      </c>
      <c r="C6" s="21">
        <v>3200</v>
      </c>
      <c r="D6" s="21">
        <v>5100</v>
      </c>
      <c r="E6" s="21">
        <v>2100</v>
      </c>
      <c r="F6" s="21">
        <v>14200</v>
      </c>
      <c r="G6" s="22">
        <v>5600000</v>
      </c>
      <c r="H6" s="37">
        <f t="shared" si="0"/>
        <v>9240000</v>
      </c>
      <c r="I6" s="19" t="s">
        <v>183</v>
      </c>
      <c r="J6" s="19"/>
    </row>
    <row r="7" spans="1:10" ht="24" customHeight="1" x14ac:dyDescent="0.2">
      <c r="A7" s="12" t="s">
        <v>135</v>
      </c>
      <c r="B7" s="17">
        <v>4200</v>
      </c>
      <c r="C7" s="17">
        <v>3600</v>
      </c>
      <c r="D7" s="17">
        <v>5500</v>
      </c>
      <c r="E7" s="17">
        <v>2300</v>
      </c>
      <c r="F7" s="17">
        <v>15600</v>
      </c>
      <c r="G7" s="18">
        <v>6200000</v>
      </c>
      <c r="H7" s="37">
        <f t="shared" si="0"/>
        <v>10230000</v>
      </c>
      <c r="I7" s="19" t="s">
        <v>183</v>
      </c>
      <c r="J7" s="19" t="s">
        <v>186</v>
      </c>
    </row>
    <row r="8" spans="1:10" ht="18" customHeight="1" x14ac:dyDescent="0.2">
      <c r="A8" s="20" t="s">
        <v>136</v>
      </c>
      <c r="B8" s="21">
        <v>4000</v>
      </c>
      <c r="C8" s="21">
        <v>3400</v>
      </c>
      <c r="D8" s="21">
        <v>5300</v>
      </c>
      <c r="E8" s="21">
        <v>2200</v>
      </c>
      <c r="F8" s="21">
        <v>14900</v>
      </c>
      <c r="G8" s="22">
        <v>5900000</v>
      </c>
      <c r="H8" s="37">
        <f t="shared" si="0"/>
        <v>9735000</v>
      </c>
      <c r="I8" s="19" t="s">
        <v>183</v>
      </c>
      <c r="J8" s="19"/>
    </row>
    <row r="9" spans="1:10" ht="18" customHeight="1" x14ac:dyDescent="0.2">
      <c r="A9" s="12" t="s">
        <v>137</v>
      </c>
      <c r="B9" s="17">
        <v>3800</v>
      </c>
      <c r="C9" s="17">
        <v>3200</v>
      </c>
      <c r="D9" s="17">
        <v>5000</v>
      </c>
      <c r="E9" s="17">
        <v>2000</v>
      </c>
      <c r="F9" s="17">
        <v>14000</v>
      </c>
      <c r="G9" s="18">
        <v>5500000</v>
      </c>
      <c r="H9" s="37">
        <f t="shared" si="0"/>
        <v>9075000</v>
      </c>
      <c r="I9" s="19" t="s">
        <v>183</v>
      </c>
      <c r="J9" s="19"/>
    </row>
    <row r="10" spans="1:10" ht="18" customHeight="1" x14ac:dyDescent="0.2">
      <c r="A10" s="20" t="s">
        <v>138</v>
      </c>
      <c r="B10" s="21">
        <v>4500</v>
      </c>
      <c r="C10" s="21">
        <v>3800</v>
      </c>
      <c r="D10" s="21">
        <v>5800</v>
      </c>
      <c r="E10" s="21">
        <v>2400</v>
      </c>
      <c r="F10" s="21">
        <v>16500</v>
      </c>
      <c r="G10" s="22">
        <v>6500000</v>
      </c>
      <c r="H10" s="37">
        <f t="shared" si="0"/>
        <v>10725000</v>
      </c>
      <c r="I10" s="19" t="s">
        <v>183</v>
      </c>
      <c r="J10" s="19"/>
    </row>
    <row r="11" spans="1:10" ht="18" customHeight="1" x14ac:dyDescent="0.2">
      <c r="A11" s="12" t="s">
        <v>139</v>
      </c>
      <c r="B11" s="17">
        <v>5200</v>
      </c>
      <c r="C11" s="17">
        <v>4200</v>
      </c>
      <c r="D11" s="17">
        <v>6500</v>
      </c>
      <c r="E11" s="17">
        <v>2800</v>
      </c>
      <c r="F11" s="17">
        <v>18700</v>
      </c>
      <c r="G11" s="18">
        <v>7400000</v>
      </c>
      <c r="H11" s="37">
        <f t="shared" si="0"/>
        <v>12210000</v>
      </c>
      <c r="I11" s="19" t="s">
        <v>183</v>
      </c>
      <c r="J11" s="19" t="s">
        <v>187</v>
      </c>
    </row>
    <row r="12" spans="1:10" ht="18" customHeight="1" x14ac:dyDescent="0.2">
      <c r="A12" s="23" t="s">
        <v>140</v>
      </c>
      <c r="B12" s="24">
        <v>6500</v>
      </c>
      <c r="C12" s="24">
        <v>5000</v>
      </c>
      <c r="D12" s="24">
        <v>7800</v>
      </c>
      <c r="E12" s="24">
        <v>3500</v>
      </c>
      <c r="F12" s="24">
        <v>22800</v>
      </c>
      <c r="G12" s="25">
        <v>9200000</v>
      </c>
      <c r="H12" s="37">
        <f t="shared" si="0"/>
        <v>15180000</v>
      </c>
      <c r="I12" s="19" t="s">
        <v>184</v>
      </c>
      <c r="J12" s="19" t="s">
        <v>185</v>
      </c>
    </row>
    <row r="13" spans="1:10" ht="18" customHeight="1" x14ac:dyDescent="0.2">
      <c r="A13" s="23" t="s">
        <v>141</v>
      </c>
      <c r="B13" s="24">
        <v>9800</v>
      </c>
      <c r="C13" s="24">
        <v>7200</v>
      </c>
      <c r="D13" s="24">
        <v>10500</v>
      </c>
      <c r="E13" s="24">
        <v>5200</v>
      </c>
      <c r="F13" s="24">
        <v>32700</v>
      </c>
      <c r="G13" s="25">
        <v>13100000</v>
      </c>
      <c r="H13" s="37">
        <f t="shared" si="0"/>
        <v>21615000</v>
      </c>
      <c r="I13" s="19" t="s">
        <v>184</v>
      </c>
      <c r="J13" s="19" t="s">
        <v>185</v>
      </c>
    </row>
    <row r="14" spans="1:10" ht="18" customHeight="1" x14ac:dyDescent="0.2">
      <c r="A14" s="23" t="s">
        <v>142</v>
      </c>
      <c r="B14" s="24">
        <v>8500</v>
      </c>
      <c r="C14" s="24">
        <v>6800</v>
      </c>
      <c r="D14" s="24">
        <v>9200</v>
      </c>
      <c r="E14" s="24">
        <v>4500</v>
      </c>
      <c r="F14" s="24">
        <v>29000</v>
      </c>
      <c r="G14" s="25">
        <v>11200000</v>
      </c>
      <c r="H14" s="37">
        <f t="shared" si="0"/>
        <v>18480000</v>
      </c>
      <c r="I14" s="19" t="s">
        <v>184</v>
      </c>
      <c r="J14" s="19" t="s">
        <v>185</v>
      </c>
    </row>
    <row r="15" spans="1:10" x14ac:dyDescent="0.2">
      <c r="G15" s="41">
        <f>SUM(G3:G14)</f>
        <v>85000000</v>
      </c>
      <c r="H15" s="41">
        <f>SUM(H3:H14)</f>
        <v>140250000</v>
      </c>
    </row>
    <row r="16" spans="1:10" ht="20" customHeight="1" x14ac:dyDescent="0.2">
      <c r="A16" s="33" t="s">
        <v>143</v>
      </c>
      <c r="B16" s="29"/>
      <c r="C16" s="29"/>
      <c r="D16" s="29"/>
      <c r="E16" s="29"/>
      <c r="F16" s="29"/>
      <c r="G16" s="29"/>
      <c r="H16" s="29"/>
      <c r="I16" s="29"/>
      <c r="J16" s="29"/>
    </row>
    <row r="17" spans="1:10" ht="30" x14ac:dyDescent="0.2">
      <c r="A17" s="26" t="s">
        <v>94</v>
      </c>
      <c r="B17" s="26" t="s">
        <v>144</v>
      </c>
      <c r="C17" s="26" t="s">
        <v>145</v>
      </c>
      <c r="D17" s="26" t="s">
        <v>146</v>
      </c>
      <c r="E17" s="26" t="s">
        <v>147</v>
      </c>
      <c r="F17" s="26" t="s">
        <v>148</v>
      </c>
      <c r="G17" s="26" t="s">
        <v>149</v>
      </c>
      <c r="H17" s="26" t="s">
        <v>150</v>
      </c>
    </row>
    <row r="18" spans="1:10" ht="18" customHeight="1" x14ac:dyDescent="0.2">
      <c r="A18" s="14" t="s">
        <v>106</v>
      </c>
      <c r="B18" s="9">
        <v>20</v>
      </c>
      <c r="C18" s="27">
        <v>1000</v>
      </c>
      <c r="D18" s="27">
        <v>2450</v>
      </c>
      <c r="E18" s="42">
        <f>(D18-C18)*B18</f>
        <v>29000</v>
      </c>
      <c r="F18" s="43">
        <f>E18*'3 - Unit Economics'!G3</f>
        <v>4060000</v>
      </c>
      <c r="G18" s="44">
        <f>DATE(2026,10,1)-(B18*7)</f>
        <v>46156</v>
      </c>
      <c r="H18" s="10" t="s">
        <v>181</v>
      </c>
    </row>
    <row r="19" spans="1:10" ht="18" customHeight="1" x14ac:dyDescent="0.2">
      <c r="A19" s="14" t="s">
        <v>108</v>
      </c>
      <c r="B19" s="9">
        <v>20</v>
      </c>
      <c r="C19" s="27">
        <v>800</v>
      </c>
      <c r="D19" s="27">
        <v>1800</v>
      </c>
      <c r="E19" s="42">
        <f t="shared" ref="E19:E21" si="1">(D19-C19)*B19</f>
        <v>20000</v>
      </c>
      <c r="F19" s="43">
        <f>E19*'3 - Unit Economics'!G6</f>
        <v>1700000</v>
      </c>
      <c r="G19" s="44">
        <f t="shared" ref="G19:G21" si="2">DATE(2026,10,1)-(B19*7)</f>
        <v>46156</v>
      </c>
      <c r="H19" s="10" t="s">
        <v>182</v>
      </c>
    </row>
    <row r="20" spans="1:10" ht="18" customHeight="1" x14ac:dyDescent="0.2">
      <c r="A20" s="14" t="s">
        <v>109</v>
      </c>
      <c r="B20" s="9">
        <v>16</v>
      </c>
      <c r="C20" s="27">
        <v>1500</v>
      </c>
      <c r="D20" s="27">
        <v>2625</v>
      </c>
      <c r="E20" s="42">
        <f t="shared" si="1"/>
        <v>18000</v>
      </c>
      <c r="F20" s="43">
        <f>E20*'3 - Unit Economics'!G8</f>
        <v>108000</v>
      </c>
      <c r="G20" s="44">
        <f t="shared" si="2"/>
        <v>46184</v>
      </c>
      <c r="H20" s="10" t="s">
        <v>182</v>
      </c>
    </row>
    <row r="21" spans="1:10" ht="18" customHeight="1" x14ac:dyDescent="0.2">
      <c r="A21" s="14" t="s">
        <v>110</v>
      </c>
      <c r="B21" s="9">
        <v>16</v>
      </c>
      <c r="C21" s="27">
        <v>600</v>
      </c>
      <c r="D21" s="27">
        <v>1300</v>
      </c>
      <c r="E21" s="42">
        <f t="shared" si="1"/>
        <v>11200</v>
      </c>
      <c r="F21" s="43">
        <f>E21*'3 - Unit Economics'!G10</f>
        <v>89600</v>
      </c>
      <c r="G21" s="44">
        <f t="shared" si="2"/>
        <v>46184</v>
      </c>
      <c r="H21" s="10" t="s">
        <v>182</v>
      </c>
    </row>
    <row r="22" spans="1:10" x14ac:dyDescent="0.2">
      <c r="E22" s="45">
        <f>SUM(E18:E21)</f>
        <v>78200</v>
      </c>
      <c r="F22" s="45">
        <f>SUM(F18:F21)</f>
        <v>5957600</v>
      </c>
    </row>
    <row r="23" spans="1:10" ht="20" customHeight="1" x14ac:dyDescent="0.2">
      <c r="A23" s="33" t="s">
        <v>63</v>
      </c>
      <c r="B23" s="29"/>
      <c r="C23" s="29"/>
      <c r="D23" s="29"/>
      <c r="E23" s="29"/>
      <c r="F23" s="29"/>
      <c r="G23" s="29"/>
      <c r="H23" s="29"/>
      <c r="I23" s="29"/>
      <c r="J23" s="29"/>
    </row>
    <row r="24" spans="1:10" ht="22" customHeight="1" x14ac:dyDescent="0.2">
      <c r="A24" s="32" t="s">
        <v>151</v>
      </c>
      <c r="B24" s="29"/>
      <c r="C24" s="29"/>
      <c r="D24" s="29"/>
      <c r="E24" s="29"/>
      <c r="F24" s="29"/>
      <c r="G24" s="29"/>
      <c r="H24" s="29"/>
      <c r="I24" s="29"/>
      <c r="J24" s="29"/>
    </row>
    <row r="25" spans="1:10" ht="22" customHeight="1" x14ac:dyDescent="0.2">
      <c r="A25" s="32" t="s">
        <v>152</v>
      </c>
      <c r="B25" s="29"/>
      <c r="C25" s="29"/>
      <c r="D25" s="29"/>
      <c r="E25" s="29"/>
      <c r="F25" s="29"/>
      <c r="G25" s="29"/>
      <c r="H25" s="29"/>
      <c r="I25" s="29"/>
      <c r="J25" s="29"/>
    </row>
    <row r="26" spans="1:10" ht="22" customHeight="1" x14ac:dyDescent="0.2">
      <c r="A26" s="32" t="s">
        <v>153</v>
      </c>
      <c r="B26" s="29"/>
      <c r="C26" s="29"/>
      <c r="D26" s="29"/>
      <c r="E26" s="29"/>
      <c r="F26" s="29"/>
      <c r="G26" s="29"/>
      <c r="H26" s="29"/>
      <c r="I26" s="29"/>
      <c r="J26" s="29"/>
    </row>
    <row r="27" spans="1:10" ht="22" customHeight="1" x14ac:dyDescent="0.2">
      <c r="A27" s="32" t="s">
        <v>154</v>
      </c>
      <c r="B27" s="29"/>
      <c r="C27" s="29"/>
      <c r="D27" s="29"/>
      <c r="E27" s="29"/>
      <c r="F27" s="29"/>
      <c r="G27" s="29"/>
      <c r="H27" s="29"/>
      <c r="I27" s="29"/>
      <c r="J27" s="29"/>
    </row>
    <row r="29" spans="1:10" ht="18" customHeight="1" x14ac:dyDescent="0.2">
      <c r="A29" s="31" t="s">
        <v>67</v>
      </c>
      <c r="B29" s="29"/>
      <c r="C29" s="29"/>
      <c r="D29" s="29"/>
      <c r="E29" s="29"/>
      <c r="F29" s="29"/>
      <c r="G29" s="29"/>
      <c r="H29" s="29"/>
      <c r="I29" s="29"/>
      <c r="J29" s="29"/>
    </row>
    <row r="30" spans="1:10" ht="30" customHeight="1" x14ac:dyDescent="0.2">
      <c r="A30" s="30" t="s">
        <v>155</v>
      </c>
      <c r="B30" s="29"/>
      <c r="C30" s="29"/>
      <c r="D30" s="29"/>
      <c r="E30" s="29"/>
      <c r="F30" s="29"/>
      <c r="G30" s="29"/>
      <c r="H30" s="29"/>
      <c r="I30" s="29"/>
      <c r="J30" s="29"/>
    </row>
    <row r="31" spans="1:10" ht="18" customHeight="1" x14ac:dyDescent="0.2">
      <c r="A31" s="28" t="s">
        <v>188</v>
      </c>
      <c r="B31" s="29"/>
      <c r="C31" s="29"/>
      <c r="D31" s="29"/>
      <c r="E31" s="29"/>
      <c r="F31" s="29"/>
      <c r="G31" s="29"/>
      <c r="H31" s="29"/>
      <c r="I31" s="29"/>
      <c r="J31" s="29"/>
    </row>
    <row r="32" spans="1:10" ht="18" customHeight="1" x14ac:dyDescent="0.2">
      <c r="A32" s="28"/>
      <c r="B32" s="29"/>
      <c r="C32" s="29"/>
      <c r="D32" s="29"/>
      <c r="E32" s="29"/>
      <c r="F32" s="29"/>
      <c r="G32" s="29"/>
      <c r="H32" s="29"/>
      <c r="I32" s="29"/>
      <c r="J32" s="29"/>
    </row>
    <row r="33" spans="1:10" ht="18" customHeight="1" x14ac:dyDescent="0.2">
      <c r="A33" s="28"/>
      <c r="B33" s="29"/>
      <c r="C33" s="29"/>
      <c r="D33" s="29"/>
      <c r="E33" s="29"/>
      <c r="F33" s="29"/>
      <c r="G33" s="29"/>
      <c r="H33" s="29"/>
      <c r="I33" s="29"/>
      <c r="J33" s="29"/>
    </row>
    <row r="34" spans="1:10" ht="18" customHeight="1" x14ac:dyDescent="0.2">
      <c r="A34" s="28"/>
      <c r="B34" s="29"/>
      <c r="C34" s="29"/>
      <c r="D34" s="29"/>
      <c r="E34" s="29"/>
      <c r="F34" s="29"/>
      <c r="G34" s="29"/>
      <c r="H34" s="29"/>
      <c r="I34" s="29"/>
      <c r="J34" s="29"/>
    </row>
    <row r="36" spans="1:10" ht="30" customHeight="1" x14ac:dyDescent="0.2">
      <c r="A36" s="30" t="s">
        <v>156</v>
      </c>
      <c r="B36" s="29"/>
      <c r="C36" s="29"/>
      <c r="D36" s="29"/>
      <c r="E36" s="29"/>
      <c r="F36" s="29"/>
      <c r="G36" s="29"/>
      <c r="H36" s="29"/>
      <c r="I36" s="29"/>
      <c r="J36" s="29"/>
    </row>
    <row r="37" spans="1:10" ht="33" customHeight="1" x14ac:dyDescent="0.2">
      <c r="A37" s="28" t="s">
        <v>189</v>
      </c>
      <c r="B37" s="29"/>
      <c r="C37" s="29"/>
      <c r="D37" s="29"/>
      <c r="E37" s="29"/>
      <c r="F37" s="29"/>
      <c r="G37" s="29"/>
      <c r="H37" s="29"/>
      <c r="I37" s="29"/>
      <c r="J37" s="29"/>
    </row>
    <row r="38" spans="1:10" ht="18" customHeight="1" x14ac:dyDescent="0.2">
      <c r="A38" s="28"/>
      <c r="B38" s="29"/>
      <c r="C38" s="29"/>
      <c r="D38" s="29"/>
      <c r="E38" s="29"/>
      <c r="F38" s="29"/>
      <c r="G38" s="29"/>
      <c r="H38" s="29"/>
      <c r="I38" s="29"/>
      <c r="J38" s="29"/>
    </row>
    <row r="39" spans="1:10" ht="18" customHeight="1" x14ac:dyDescent="0.2">
      <c r="A39" s="28"/>
      <c r="B39" s="29"/>
      <c r="C39" s="29"/>
      <c r="D39" s="29"/>
      <c r="E39" s="29"/>
      <c r="F39" s="29"/>
      <c r="G39" s="29"/>
      <c r="H39" s="29"/>
      <c r="I39" s="29"/>
      <c r="J39" s="29"/>
    </row>
    <row r="40" spans="1:10" ht="18" customHeight="1" x14ac:dyDescent="0.2">
      <c r="A40" s="28"/>
      <c r="B40" s="29"/>
      <c r="C40" s="29"/>
      <c r="D40" s="29"/>
      <c r="E40" s="29"/>
      <c r="F40" s="29"/>
      <c r="G40" s="29"/>
      <c r="H40" s="29"/>
      <c r="I40" s="29"/>
      <c r="J40" s="29"/>
    </row>
    <row r="42" spans="1:10" ht="30" customHeight="1" x14ac:dyDescent="0.2">
      <c r="A42" s="30" t="s">
        <v>157</v>
      </c>
      <c r="B42" s="29"/>
      <c r="C42" s="29"/>
      <c r="D42" s="29"/>
      <c r="E42" s="29"/>
      <c r="F42" s="29"/>
      <c r="G42" s="29"/>
      <c r="H42" s="29"/>
      <c r="I42" s="29"/>
      <c r="J42" s="29"/>
    </row>
    <row r="43" spans="1:10" ht="98" customHeight="1" x14ac:dyDescent="0.2">
      <c r="A43" s="28" t="s">
        <v>190</v>
      </c>
      <c r="B43" s="29"/>
      <c r="C43" s="29"/>
      <c r="D43" s="29"/>
      <c r="E43" s="29"/>
      <c r="F43" s="29"/>
      <c r="G43" s="29"/>
      <c r="H43" s="29"/>
      <c r="I43" s="29"/>
      <c r="J43" s="29"/>
    </row>
    <row r="44" spans="1:10" ht="18" customHeight="1" x14ac:dyDescent="0.2">
      <c r="A44" s="28"/>
      <c r="B44" s="29"/>
      <c r="C44" s="29"/>
      <c r="D44" s="29"/>
      <c r="E44" s="29"/>
      <c r="F44" s="29"/>
      <c r="G44" s="29"/>
      <c r="H44" s="29"/>
      <c r="I44" s="29"/>
      <c r="J44" s="29"/>
    </row>
    <row r="45" spans="1:10" ht="18" customHeight="1" x14ac:dyDescent="0.2">
      <c r="A45" s="28"/>
      <c r="B45" s="29"/>
      <c r="C45" s="29"/>
      <c r="D45" s="29"/>
      <c r="E45" s="29"/>
      <c r="F45" s="29"/>
      <c r="G45" s="29"/>
      <c r="H45" s="29"/>
      <c r="I45" s="29"/>
      <c r="J45" s="29"/>
    </row>
    <row r="46" spans="1:10" ht="18" customHeight="1" x14ac:dyDescent="0.2">
      <c r="A46" s="28"/>
      <c r="B46" s="29"/>
      <c r="C46" s="29"/>
      <c r="D46" s="29"/>
      <c r="E46" s="29"/>
      <c r="F46" s="29"/>
      <c r="G46" s="29"/>
      <c r="H46" s="29"/>
      <c r="I46" s="29"/>
      <c r="J46" s="29"/>
    </row>
  </sheetData>
  <mergeCells count="23">
    <mergeCell ref="A46:J46"/>
    <mergeCell ref="A27:J27"/>
    <mergeCell ref="A26:J26"/>
    <mergeCell ref="A42:J42"/>
    <mergeCell ref="A33:J33"/>
    <mergeCell ref="A1:J1"/>
    <mergeCell ref="A45:J45"/>
    <mergeCell ref="A36:J36"/>
    <mergeCell ref="A16:J16"/>
    <mergeCell ref="A25:J25"/>
    <mergeCell ref="A37:J37"/>
    <mergeCell ref="A44:J44"/>
    <mergeCell ref="A31:J31"/>
    <mergeCell ref="A40:J40"/>
    <mergeCell ref="A30:J30"/>
    <mergeCell ref="A39:J39"/>
    <mergeCell ref="A34:J34"/>
    <mergeCell ref="A23:J23"/>
    <mergeCell ref="A32:J32"/>
    <mergeCell ref="A29:J29"/>
    <mergeCell ref="A43:J43"/>
    <mergeCell ref="A38:J38"/>
    <mergeCell ref="A24:J2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0 - Start Here</vt:lpstr>
      <vt:lpstr>1 - P&amp;L Margin Analysis</vt:lpstr>
      <vt:lpstr>2 - Channel Profitability</vt:lpstr>
      <vt:lpstr>3 - Unit Economics</vt:lpstr>
      <vt:lpstr>4 - Demand Planning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Trey Sisson</cp:lastModifiedBy>
  <dcterms:created xsi:type="dcterms:W3CDTF">2026-03-16T23:18:18Z</dcterms:created>
  <dcterms:modified xsi:type="dcterms:W3CDTF">2026-03-17T20:56:42Z</dcterms:modified>
</cp:coreProperties>
</file>