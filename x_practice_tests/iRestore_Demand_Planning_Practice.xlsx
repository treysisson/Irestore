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treysisson/iRestore/x_practice_tests/"/>
    </mc:Choice>
  </mc:AlternateContent>
  <xr:revisionPtr revIDLastSave="0" documentId="13_ncr:1_{7790BE99-CDD4-8444-902A-858309C1A0AA}" xr6:coauthVersionLast="47" xr6:coauthVersionMax="47" xr10:uidLastSave="{00000000-0000-0000-0000-000000000000}"/>
  <bookViews>
    <workbookView xWindow="940" yWindow="500" windowWidth="67860" windowHeight="28300" activeTab="3" xr2:uid="{00000000-000D-0000-FFFF-FFFF00000000}"/>
  </bookViews>
  <sheets>
    <sheet name="0 - Start Here" sheetId="1" r:id="rId1"/>
    <sheet name="1 - Seasonal Demand" sheetId="2" r:id="rId2"/>
    <sheet name="2 - Costco Surge" sheetId="3" r:id="rId3"/>
    <sheet name="3 - Safety Stock &amp; Reorder" sheetId="4" r:id="rId4"/>
    <sheet name="4 - New SKU Launch Ramp" sheetId="5" r:id="rId5"/>
    <sheet name="5 - Inventory Health" sheetId="6" r:id="rId6"/>
    <sheet name="6 - Channel P&amp;L"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4" l="1"/>
  <c r="D36" i="4"/>
  <c r="C36" i="4"/>
  <c r="B36" i="4"/>
  <c r="D27" i="4"/>
  <c r="D28" i="4"/>
  <c r="D29" i="4"/>
  <c r="D30" i="4"/>
  <c r="D31" i="4"/>
  <c r="D26" i="4"/>
  <c r="C27" i="4"/>
  <c r="C28" i="4"/>
  <c r="C29" i="4"/>
  <c r="C30" i="4"/>
  <c r="C31" i="4"/>
  <c r="C26" i="4"/>
  <c r="F27" i="4"/>
  <c r="F28" i="4"/>
  <c r="F29" i="4"/>
  <c r="F30" i="4"/>
  <c r="F31" i="4"/>
  <c r="F26" i="4"/>
  <c r="G15" i="4"/>
  <c r="G16" i="4"/>
  <c r="G17" i="4"/>
  <c r="G18" i="4"/>
  <c r="G19" i="4"/>
  <c r="G14" i="4"/>
  <c r="F15" i="4"/>
  <c r="F16" i="4"/>
  <c r="F17" i="4"/>
  <c r="F18" i="4"/>
  <c r="F19" i="4"/>
  <c r="F14" i="4"/>
  <c r="E15" i="4"/>
  <c r="E16" i="4"/>
  <c r="E17" i="4"/>
  <c r="E18" i="4"/>
  <c r="E19" i="4"/>
  <c r="E14" i="4"/>
  <c r="D15" i="4"/>
  <c r="D16" i="4"/>
  <c r="D17" i="4"/>
  <c r="D18" i="4"/>
  <c r="D19" i="4"/>
  <c r="D14" i="4"/>
  <c r="C15" i="4"/>
  <c r="C16" i="4"/>
  <c r="C17" i="4"/>
  <c r="C18" i="4"/>
  <c r="C19" i="4"/>
  <c r="C14" i="4"/>
  <c r="B15" i="4"/>
  <c r="B16" i="4"/>
  <c r="B17" i="4"/>
  <c r="B18" i="4"/>
  <c r="B19" i="4"/>
  <c r="B14" i="4"/>
  <c r="B28" i="3"/>
  <c r="N37" i="2"/>
  <c r="O37" i="2" s="1"/>
  <c r="M37" i="2"/>
  <c r="L37" i="2"/>
  <c r="K37" i="2"/>
  <c r="J37" i="2"/>
  <c r="I37" i="2"/>
  <c r="H37" i="2"/>
  <c r="G37" i="2"/>
  <c r="F37" i="2"/>
  <c r="E37" i="2"/>
  <c r="D37" i="2"/>
  <c r="C37" i="2"/>
  <c r="B37" i="2"/>
  <c r="N36" i="2"/>
  <c r="O36" i="2" s="1"/>
  <c r="M36" i="2"/>
  <c r="L36" i="2"/>
  <c r="K36" i="2"/>
  <c r="J36" i="2"/>
  <c r="I36" i="2"/>
  <c r="H36" i="2"/>
  <c r="G36" i="2"/>
  <c r="F36" i="2"/>
  <c r="E36" i="2"/>
  <c r="D36" i="2"/>
  <c r="C36" i="2"/>
  <c r="B36" i="2"/>
  <c r="N35" i="2"/>
  <c r="O35" i="2" s="1"/>
  <c r="M35" i="2"/>
  <c r="L35" i="2"/>
  <c r="K35" i="2"/>
  <c r="J35" i="2"/>
  <c r="I35" i="2"/>
  <c r="H35" i="2"/>
  <c r="G35" i="2"/>
  <c r="F35" i="2"/>
  <c r="E35" i="2"/>
  <c r="D35" i="2"/>
  <c r="C35" i="2"/>
  <c r="B35" i="2"/>
  <c r="O34" i="2"/>
  <c r="N34" i="2"/>
  <c r="M34" i="2"/>
  <c r="L34" i="2"/>
  <c r="K34" i="2"/>
  <c r="J34" i="2"/>
  <c r="I34" i="2"/>
  <c r="H34" i="2"/>
  <c r="G34" i="2"/>
  <c r="F34" i="2"/>
  <c r="E34" i="2"/>
  <c r="D34" i="2"/>
  <c r="C34" i="2"/>
  <c r="B34" i="2"/>
  <c r="O33" i="2"/>
  <c r="N33" i="2"/>
  <c r="M33" i="2"/>
  <c r="L33" i="2"/>
  <c r="K33" i="2"/>
  <c r="P33" i="2" s="1"/>
  <c r="J33" i="2"/>
  <c r="I33" i="2"/>
  <c r="H33" i="2"/>
  <c r="G33" i="2"/>
  <c r="F33" i="2"/>
  <c r="E33" i="2"/>
  <c r="D33" i="2"/>
  <c r="C33" i="2"/>
  <c r="B33" i="2"/>
  <c r="O32" i="2"/>
  <c r="O38" i="2" s="1"/>
  <c r="B39" i="2" s="1"/>
  <c r="N32" i="2"/>
  <c r="N40" i="2" s="1"/>
  <c r="M32" i="2"/>
  <c r="M40" i="2" s="1"/>
  <c r="L32" i="2"/>
  <c r="L40" i="2" s="1"/>
  <c r="K32" i="2"/>
  <c r="K40" i="2" s="1"/>
  <c r="J32" i="2"/>
  <c r="J40" i="2" s="1"/>
  <c r="I32" i="2"/>
  <c r="I38" i="2" s="1"/>
  <c r="H32" i="2"/>
  <c r="H38" i="2" s="1"/>
  <c r="G32" i="2"/>
  <c r="G38" i="2" s="1"/>
  <c r="F32" i="2"/>
  <c r="F38" i="2" s="1"/>
  <c r="E32" i="2"/>
  <c r="E38" i="2" s="1"/>
  <c r="D32" i="2"/>
  <c r="D40" i="2" s="1"/>
  <c r="C32" i="2"/>
  <c r="C40" i="2" s="1"/>
  <c r="B32" i="2"/>
  <c r="B40" i="2" s="1"/>
  <c r="M26" i="2"/>
  <c r="L26" i="2"/>
  <c r="K26" i="2"/>
  <c r="J26" i="2"/>
  <c r="I26" i="2"/>
  <c r="H26" i="2"/>
  <c r="G26" i="2"/>
  <c r="F26" i="2"/>
  <c r="E26" i="2"/>
  <c r="D26" i="2"/>
  <c r="C26" i="2"/>
  <c r="B26" i="2"/>
  <c r="E33" i="3"/>
  <c r="E34" i="3" s="1"/>
  <c r="E32" i="3"/>
  <c r="E31" i="3"/>
  <c r="D31" i="3"/>
  <c r="C31" i="3"/>
  <c r="B31" i="3"/>
  <c r="E27" i="3"/>
  <c r="E29" i="3" s="1"/>
  <c r="E26" i="3"/>
  <c r="E25" i="3"/>
  <c r="D25" i="3"/>
  <c r="D32" i="3" s="1"/>
  <c r="C25" i="3"/>
  <c r="C32" i="3" s="1"/>
  <c r="B25" i="3"/>
  <c r="B32" i="3" s="1"/>
  <c r="B33" i="3" s="1"/>
  <c r="B34" i="3" s="1"/>
  <c r="B8" i="3"/>
  <c r="D33" i="3" s="1"/>
  <c r="D34" i="3" s="1"/>
  <c r="J38" i="2" l="1"/>
  <c r="E40" i="2"/>
  <c r="K38" i="2"/>
  <c r="F40" i="2"/>
  <c r="B38" i="2"/>
  <c r="L38" i="2"/>
  <c r="G40" i="2"/>
  <c r="B26" i="3"/>
  <c r="B27" i="3" s="1"/>
  <c r="C38" i="2"/>
  <c r="M38" i="2"/>
  <c r="H40" i="2"/>
  <c r="D38" i="2"/>
  <c r="N38" i="2"/>
  <c r="I40" i="2"/>
  <c r="D26" i="3"/>
  <c r="D27" i="3" s="1"/>
  <c r="C26" i="3"/>
  <c r="C27" i="3" s="1"/>
  <c r="E28" i="3"/>
  <c r="C33" i="3"/>
  <c r="C34" i="3" s="1"/>
  <c r="B29" i="3" l="1"/>
  <c r="C29" i="3"/>
  <c r="C28" i="3"/>
  <c r="D29" i="3"/>
  <c r="D28" i="3"/>
</calcChain>
</file>

<file path=xl/sharedStrings.xml><?xml version="1.0" encoding="utf-8"?>
<sst xmlns="http://schemas.openxmlformats.org/spreadsheetml/2006/main" count="535" uniqueCount="382">
  <si>
    <t>SCENARIO 2: COSTCO.COM Q4 SURGE  |  Model 3x / 5x / 8x / 10x and build your response plan</t>
  </si>
  <si>
    <t>Context: Costco.com runs a 2-week online promo starting Nov 1. iRESTORE fulfills all Costco.com orders from La Mirada — same warehouse, same pick/pack line as DTC and Amazon.</t>
  </si>
  <si>
    <t>SECTION A — Given Data</t>
  </si>
  <si>
    <t>Metric</t>
  </si>
  <si>
    <t>Value</t>
  </si>
  <si>
    <t>Notes</t>
  </si>
  <si>
    <t>Professional Helmet — units on hand</t>
  </si>
  <si>
    <t>La Mirada warehouse</t>
  </si>
  <si>
    <t>Professional Helmet — units in transit</t>
  </si>
  <si>
    <t>Arriving ~Sep 5 via ocean freight</t>
  </si>
  <si>
    <t>Total available inventory</t>
  </si>
  <si>
    <t>On hand + in transit (auto-calculated)</t>
  </si>
  <si>
    <t>Factory max output / month</t>
  </si>
  <si>
    <t>Wellmike, Shenzhen; 7,000/mo w/ overtime</t>
  </si>
  <si>
    <t>La Mirada pick/pack capacity — single shift</t>
  </si>
  <si>
    <t>orders/day (DTC + Amazon + Costco.com share same line)</t>
  </si>
  <si>
    <t>La Mirada pick/pack capacity — 2 shifts + temps</t>
  </si>
  <si>
    <t>orders/day; requires 3-week temp labor setup</t>
  </si>
  <si>
    <t>Ocean freight lead time</t>
  </si>
  <si>
    <t>weeks, Yantian → LA (door-to-door)</t>
  </si>
  <si>
    <t>Air freight lead time</t>
  </si>
  <si>
    <t>5–7 days</t>
  </si>
  <si>
    <t>vs. 5 weeks for ocean</t>
  </si>
  <si>
    <t>Air freight cost premium over ocean</t>
  </si>
  <si>
    <t>$/unit ($18 air vs. $6 ocean = $12 premium)</t>
  </si>
  <si>
    <t>DTC avg daily orders — all SKUs, non-peak</t>
  </si>
  <si>
    <t>orders/day</t>
  </si>
  <si>
    <t>Amazon avg daily orders — all SKUs, non-peak</t>
  </si>
  <si>
    <t>Professional Helmet % of total orders</t>
  </si>
  <si>
    <t>From Tab 1 unit mix: 29,250 ÷ 263,670 ≈ 11%</t>
  </si>
  <si>
    <t>Costco last year November promo</t>
  </si>
  <si>
    <t>units shipped over Nov 1–14 (14 fulfillment days)</t>
  </si>
  <si>
    <t>SECTION B — Scenario Model  (yellow = calculate)</t>
  </si>
  <si>
    <t>Costco buyer: 'expect 3–5x.' Last year = 1,200 units over 2 weeks. Stress-test up to 10x. Promo window = Nov 1–14 (14 fulfillment days).</t>
  </si>
  <si>
    <t>3x  (Base)</t>
  </si>
  <si>
    <t>5x  (Likely)</t>
  </si>
  <si>
    <t>8x  (Hot)</t>
  </si>
  <si>
    <t>10x  (Actual)</t>
  </si>
  <si>
    <t>Promo multiplier vs. last year</t>
  </si>
  <si>
    <t>Costco promo units  (last year × multiplier)</t>
  </si>
  <si>
    <t>Costco avg daily orders during promo  (promo units ÷ 14 days)</t>
  </si>
  <si>
    <t>Total daily orders — all channels  (DTC + Amazon + Costco)</t>
  </si>
  <si>
    <t>Warehouse gap vs. 800/day single shift  [positive = over capacity]</t>
  </si>
  <si>
    <t>Warehouse gap vs. 1,400/day w/ temps  [positive = over capacity]</t>
  </si>
  <si>
    <t>→  Inventory: Professional Helmet only</t>
  </si>
  <si>
    <t>DTC + Amazon Pro Helmet demand in November  [(450+280) × 11% × 30 days]</t>
  </si>
  <si>
    <t>Total November Pro Helmet demand  (Costco promo + DTC/Amazon Pro Helmet)</t>
  </si>
  <si>
    <t>Inventory surplus / (shortfall)  vs. 11,200 available</t>
  </si>
  <si>
    <t>Additional units to order  (0 if surplus)</t>
  </si>
  <si>
    <t>SECTION C — Action Plan  (green = your written plan)</t>
  </si>
  <si>
    <t>Week Of</t>
  </si>
  <si>
    <t>Action You'd Take</t>
  </si>
  <si>
    <t>Owner</t>
  </si>
  <si>
    <t>Est. Cost</t>
  </si>
  <si>
    <t>What Breaks If You Don't</t>
  </si>
  <si>
    <t>Aug 11  (Costco confirms promo — today)</t>
  </si>
  <si>
    <t>Aug 18  (Place production order?)</t>
  </si>
  <si>
    <t>Sep 1   (In-transit stock arrives — 11,200 units confirmed)</t>
  </si>
  <si>
    <t>Sep 15  (Temp labor commit — 3-week setup window opens)</t>
  </si>
  <si>
    <t>Sep 20  (Last ocean order date to arrive by Oct 25)</t>
  </si>
  <si>
    <t>Oct 1</t>
  </si>
  <si>
    <t>Oct 15  (Pre-stage Costco inventory; confirm final PO qty)</t>
  </si>
  <si>
    <t>Nov 1   (Promo starts — all hands on deck)</t>
  </si>
  <si>
    <t>Nov 15  (Promo ends)</t>
  </si>
  <si>
    <t>Nov 24  (Black Friday)</t>
  </si>
  <si>
    <t>Dec 1   (Recovery / DTC backlog catch-up)</t>
  </si>
  <si>
    <t>SECTION D — Questions  (green = written answer)</t>
  </si>
  <si>
    <t>Q1:  Brandon's response to the real Q4 crisis was 'We can't do anything.' Based on your Section B model, name 3 specific things you'd have had locked in before September that make that answer impossible.</t>
  </si>
  <si>
    <t>Q2:  Your model shows warehouse capacity breached in every scenario — even before temps arrive. At what Costco scenario (3x/5x/8x/10x) does the expanded 1,400/day capacity get breached? What does that tell you about the Sep 15 temp labor commitment?</t>
  </si>
  <si>
    <t>Q3:  At what Costco volume does air freight become rational despite the $12/unit premium? Show the math: total air freight cost vs. estimated lost revenue from 1 week of stockout at the 10x scenario.</t>
  </si>
  <si>
    <t>Q4:  Costco says 'expect 3–5x' but you think 10x is possible. How do you plan for 10x inventory without committing capital to 10x upfront? Describe the optionality strategy.</t>
  </si>
  <si>
    <t>Q5:  What S&amp;OP process changes would you implement so a promo confirmed in August with a November start never catches iRESTORE off guard again?</t>
  </si>
  <si>
    <t>iRESTORE COO INTERVIEW — DEMAND PLANNING PRACTICE</t>
  </si>
  <si>
    <t>5 scenarios focused on demand planning, S&amp;OP, and inventory — the #1 operational gap Kevin has called out.</t>
  </si>
  <si>
    <t xml:space="preserve">  1 - Seasonal Demand Forecast     →  Build a monthly unit plan using 2025 actuals and seasonality; identify Q4 peak risk</t>
  </si>
  <si>
    <t xml:space="preserve">  2 - Costco Surge Scenario         →  Model 3x/5x/10x Costco promo volumes; build a contingency plan on a timeline</t>
  </si>
  <si>
    <t xml:space="preserve">  3 - Safety Stock &amp; Reorder        →  Calculate reorder points and safety stock given 5-week lead time and demand variability</t>
  </si>
  <si>
    <t xml:space="preserve">  4 - New SKU Launch Ramp           →  Forecast demand for a new product with no history; use an analog SKU to calibrate</t>
  </si>
  <si>
    <t xml:space="preserve">  5 - Inventory Health &amp; Cash       →  Diagnose overstocked SKUs, calculate trapped cash, and recommend liquidation actions</t>
  </si>
  <si>
    <t xml:space="preserve">  6 - Channel P&amp;L                   →  Build a fully-loaded P&amp;L by channel (DTC/Amazon/Costco/B2B); find where you actually make money</t>
  </si>
  <si>
    <t>COLOR KEY:</t>
  </si>
  <si>
    <t xml:space="preserve">  🟡 Yellow  =  calculate this (enter a number or formula)</t>
  </si>
  <si>
    <t xml:space="preserve">  🟢 Green   =  your written answer</t>
  </si>
  <si>
    <t xml:space="preserve">  ⬜ White   =  given data, do not change</t>
  </si>
  <si>
    <t>GRADING NOTE:</t>
  </si>
  <si>
    <t xml:space="preserve">  Show your work — use formulas, not just typed numbers.</t>
  </si>
  <si>
    <t xml:space="preserve">  For written answers: lead with the recommendation, then support with numbers.</t>
  </si>
  <si>
    <t xml:space="preserve">  Round to the nearest dollar or percentage point — precision is less important than logic.</t>
  </si>
  <si>
    <t>SCENARIO 1: SEASONAL DEMAND FORECAST  |  Build the 2026 Monthly Unit Plan</t>
  </si>
  <si>
    <t>SECTION A — 2025 Actual Units Sold by SKU (given data)</t>
  </si>
  <si>
    <t>SKU</t>
  </si>
  <si>
    <t>Jan</t>
  </si>
  <si>
    <t>Feb</t>
  </si>
  <si>
    <t>Mar</t>
  </si>
  <si>
    <t>Apr</t>
  </si>
  <si>
    <t>May</t>
  </si>
  <si>
    <t>Jun</t>
  </si>
  <si>
    <t>Jul</t>
  </si>
  <si>
    <t>Aug</t>
  </si>
  <si>
    <t>Sep</t>
  </si>
  <si>
    <t>Oct</t>
  </si>
  <si>
    <t>Nov</t>
  </si>
  <si>
    <t>Dec</t>
  </si>
  <si>
    <t>FY 2025</t>
  </si>
  <si>
    <t>Elite Helmet</t>
  </si>
  <si>
    <t>Professional Helmet</t>
  </si>
  <si>
    <t>Essential Helmet</t>
  </si>
  <si>
    <t>Illumina Face Mask</t>
  </si>
  <si>
    <t>Illumina Neck &amp; Chest</t>
  </si>
  <si>
    <t>Serums &amp; Supplements</t>
  </si>
  <si>
    <t>TOTAL</t>
  </si>
  <si>
    <t>* iRESTORE is ~$90M annual revenue. 80% YoY growth targeted for 2026. Q4 = ~39% of annual volume. Costco skews even more heavily to Q4.</t>
  </si>
  <si>
    <t>SECTION B — Reference: ASP &amp; Channel Mix (given)</t>
  </si>
  <si>
    <t>ASP (DTC)</t>
  </si>
  <si>
    <t>ASP (Amazon)</t>
  </si>
  <si>
    <t>ASP
(Costco)</t>
  </si>
  <si>
    <t>ASP
(B2B)</t>
  </si>
  <si>
    <t>DTC %</t>
  </si>
  <si>
    <t>Amazon %</t>
  </si>
  <si>
    <t>Costco %</t>
  </si>
  <si>
    <t>B2B %</t>
  </si>
  <si>
    <t>Return Rate</t>
  </si>
  <si>
    <t>Gross Margin</t>
  </si>
  <si>
    <t>N/A</t>
  </si>
  <si>
    <t>Blended ASP = (DTC%×DTC ASP) + (Amazon%×Amazon ASP) + (Costco%×Costco ASP) + (B2B%×B2B ASP)</t>
  </si>
  <si>
    <t>SECTION C — Calculate Seasonality Index  (yellow = your work)</t>
  </si>
  <si>
    <t>Month</t>
  </si>
  <si>
    <t>Total 2025 Units (from Section A)</t>
  </si>
  <si>
    <t>Seasonality Index
(= month units ÷ annual total)</t>
  </si>
  <si>
    <t>Which months are above 1/12 (8.3%)?</t>
  </si>
  <si>
    <t>September, October, November and December. Collectively they represent 46.6% of yearly sales</t>
  </si>
  <si>
    <t>SECTION D — Your 2026 Demand Forecast  (yellow = your work)</t>
  </si>
  <si>
    <t>Using 80% YoY growth × your seasonality index, build the monthly unit plan for each SKU. Then answer the questions below.</t>
  </si>
  <si>
    <t>FY 2026</t>
  </si>
  <si>
    <t>Revenue Check: FY 2026 Total Revenue</t>
  </si>
  <si>
    <t>✓ Corrected — units scaled 10x. FY 2025 total units ~264K generates ~$90M at blended ASP of ~$341.</t>
  </si>
  <si>
    <t>Daily DTC Shipping Requirement</t>
  </si>
  <si>
    <t>SECTION E — Questions  (green = written answer)</t>
  </si>
  <si>
    <t>Q1: In which month does total unit demand first exceed 2x the January level? What does that tell you about when to start surge planning?</t>
  </si>
  <si>
    <t>November is the first month that has &gt;2x the January demand. November is projecting 70,560 units, which is 2.79x the January demand of 25,290. This tells me that we need to start surge planning 12-20 weeks prior to November, depending on lead times.</t>
  </si>
  <si>
    <t>Q2: If the warehouse can handle 800 DTC orders/day, on which months does your forecast exceed that? What's your contingency?</t>
  </si>
  <si>
    <t>Assume we only on weekends, and an average of 20 days / month - we surpass 800 units/day beginning in March. Shipping demand increases up to 2080 units/day in November. 
We have several options for contingency:
1. Increase labor force
2. Increase daily hours
3. Add weekends
4. Add another shift
5. Increase our warehouse size (if that is a constraint as well)
6. Add on another warehouse or 3PL
I would attach this with a short and long term plan. Short term I'd try to hire additional labor, but plan for overtime for existing staff. Longer term I would look to expand our warehouse space / capacity or add on a 3PL. Given what I know about iRestore, I would look at a 3PL on the east coast so that we can cut down on our shipping carrier rates and offer a better customer experience.</t>
  </si>
  <si>
    <t>Q3: Given 5-week ocean lead time, what's the LAST month you can place a production order and receive it before November peak?</t>
  </si>
  <si>
    <t>Hint: count backwards from Nov 1.</t>
  </si>
  <si>
    <t>Assumptions: (1) 5 week ocean lead time (2) 12 week production lead time (3) 1 week to receive units and make available for sale
So total lead time is 35*7+12*7+7 = 210 days.
210 days prior to Nov 1 is April 5th. To be safe, March is the last month, but technically you can order in the first few days of April.</t>
  </si>
  <si>
    <t>Q4: Costco's Q4 share is even more concentrated than DTC. If Costco does a Nov endcap promo, how many Professional Helmet units should you pre-stage by Oct 15?</t>
  </si>
  <si>
    <t>According to the data presented to me, Costco's share in any given month or quarter is contant (10% for the professional helmet). 
The currented projected forecast for professional helment at costco in Q4 is 1,944 units. I would ask CostCo what bump to expect with an endcap promo, but assuming it's ~5x, I would then aim to pre-stage 10,000 units.</t>
  </si>
  <si>
    <t>Q5: Kevin wants to grow Serums &amp; Supplements into a subscription business. How does that change the demand curve shape vs. device SKUs?</t>
  </si>
  <si>
    <t>The demand curve would steadily rise, assuming we have decent retention. So the number of returning customers would compound overtime, and the demand would in theory not drop from month to month.</t>
  </si>
  <si>
    <t>SCENARIO 3: SAFETY STOCK &amp; REORDER POINTS  |  5-Week Lead Time from Shenzhen</t>
  </si>
  <si>
    <t>SECTION A — Weekly Demand Data by SKU  (given: last 12 weeks)</t>
  </si>
  <si>
    <t>Wk 1</t>
  </si>
  <si>
    <t>Wk 2</t>
  </si>
  <si>
    <t>Wk 3</t>
  </si>
  <si>
    <t>Wk 4</t>
  </si>
  <si>
    <t>Wk 5</t>
  </si>
  <si>
    <t>Wk 6</t>
  </si>
  <si>
    <t>Wk 7</t>
  </si>
  <si>
    <t>Wk 8</t>
  </si>
  <si>
    <t>Wk 9</t>
  </si>
  <si>
    <t>Wk 10</t>
  </si>
  <si>
    <t>Wk 11</t>
  </si>
  <si>
    <t>Wk 12</t>
  </si>
  <si>
    <t>SECTION B — Calculate Demand Statistics  (yellow = your work)</t>
  </si>
  <si>
    <t>Avg Weekly
Demand</t>
  </si>
  <si>
    <t>Std Dev
(weekly)</t>
  </si>
  <si>
    <t>Coefficient of
Variation</t>
  </si>
  <si>
    <t>Max Week</t>
  </si>
  <si>
    <t>Min Week</t>
  </si>
  <si>
    <t>Max/Avg
Ratio</t>
  </si>
  <si>
    <t>* Coefficient of Variation = Std Dev ÷ Avg. Higher CV = more variable demand = more safety stock needed.</t>
  </si>
  <si>
    <t>SECTION C — Reorder Point &amp; Safety Stock  (yellow = your work)</t>
  </si>
  <si>
    <t>Lead time = 5 weeks (ocean). Service level target = 95% (z = 1.65). Safety Stock = z × σ × √(lead time in weeks)</t>
  </si>
  <si>
    <t>Lead Time
(weeks)</t>
  </si>
  <si>
    <t>Safety Stock
(units)</t>
  </si>
  <si>
    <t>Reorder Point
(units)</t>
  </si>
  <si>
    <t>Current
On Hand</t>
  </si>
  <si>
    <t>Weeks of
Supply</t>
  </si>
  <si>
    <t>Status
(OK / Reorder / Urgent)</t>
  </si>
  <si>
    <t>Order Qty
Recommended</t>
  </si>
  <si>
    <t>SECTION D — Stress Test: What If Lead Time Doubles to 10 Weeks?  (yellow = your work)</t>
  </si>
  <si>
    <t>Port congestion, factory delay, or Chinese New Year could push lead time to 10 weeks. Recalculate safety stock and reorder points.</t>
  </si>
  <si>
    <t>New Safety
Stock (10wk LT)</t>
  </si>
  <si>
    <t>New Reorder
Point</t>
  </si>
  <si>
    <t>Additional Inventory
$ Required</t>
  </si>
  <si>
    <t>COGS/Unit</t>
  </si>
  <si>
    <t>Incremental
Cash Tied Up</t>
  </si>
  <si>
    <t>TOTAL INCREMENTAL CASH</t>
  </si>
  <si>
    <t>Q1: Which SKU has the most variable demand (highest CV)? What does that imply about how you should order it differently vs. a stable SKU?</t>
  </si>
  <si>
    <t>Q2: The Neck &amp; Chest panel has 620 units on hand but only sells ~18/week. That's 34 weeks of supply. Is that a problem? What would you do?</t>
  </si>
  <si>
    <t>Q3: If you could only afford to hold safety stock on 3 of the 6 SKUs, which 3 would you choose and why?</t>
  </si>
  <si>
    <t>Q4: Chinese New Year shuts the factory for 3 weeks in January. How does that change your October/November ordering?</t>
  </si>
  <si>
    <t>Q5: Kevin's father runs the factory. Does that change your safety stock strategy vs. a third-party contract manufacturer? How?</t>
  </si>
  <si>
    <t>SCENARIO 4: NEW SKU LAUNCH  |  Body Panel ($1,295) Demand Ramp — Zero History</t>
  </si>
  <si>
    <t>SECTION A — Analog: Illumina Face Mask Launch (first 12 months, given)</t>
  </si>
  <si>
    <t>Units Sold</t>
  </si>
  <si>
    <t>Marketing Spend ($K)</t>
  </si>
  <si>
    <t>CAC ($)</t>
  </si>
  <si>
    <t>Face Mask: $499 ASP, $170 COGS, 66% margin. Launched to existing customer base with email + influencer push. Steady state reached ~month 6.</t>
  </si>
  <si>
    <t>SECTION B — Body Panel Product Data (given)</t>
  </si>
  <si>
    <t>$1,295</t>
  </si>
  <si>
    <t>$1,195</t>
  </si>
  <si>
    <t>COGS / unit</t>
  </si>
  <si>
    <t>$389</t>
  </si>
  <si>
    <t>70%</t>
  </si>
  <si>
    <t>Launch date</t>
  </si>
  <si>
    <t>April 2026</t>
  </si>
  <si>
    <t>Initial production run (MOQ)</t>
  </si>
  <si>
    <t>3,000 units</t>
  </si>
  <si>
    <t>Reorder MOQ</t>
  </si>
  <si>
    <t>1,500 units</t>
  </si>
  <si>
    <t>Initial tooling lead time</t>
  </si>
  <si>
    <t>6 weeks</t>
  </si>
  <si>
    <t>Reorder lead time</t>
  </si>
  <si>
    <t>4 weeks</t>
  </si>
  <si>
    <t>Launch marketing budget (months 1-3)</t>
  </si>
  <si>
    <t>$450K total</t>
  </si>
  <si>
    <t>Ongoing marketing budget</t>
  </si>
  <si>
    <t>$80-120K/month</t>
  </si>
  <si>
    <t>Pre-launch waitlist signups</t>
  </si>
  <si>
    <t>2,800</t>
  </si>
  <si>
    <t>Kevin's Year 1 target</t>
  </si>
  <si>
    <t>15,000 units</t>
  </si>
  <si>
    <t>Marketing's Year 1 estimate</t>
  </si>
  <si>
    <t>25,000 units</t>
  </si>
  <si>
    <t>Supply chain's Year 1 estimate</t>
  </si>
  <si>
    <t>8,000 units</t>
  </si>
  <si>
    <t>SECTION C — Your Body Panel Demand Forecast: Apr 2026 – Mar 2027  (yellow = your work)</t>
  </si>
  <si>
    <t>Jan'27</t>
  </si>
  <si>
    <t>Feb'27</t>
  </si>
  <si>
    <t>Mar'27</t>
  </si>
  <si>
    <t>FY Total</t>
  </si>
  <si>
    <t>Units — Base Case</t>
  </si>
  <si>
    <t>Units — Upside Case</t>
  </si>
  <si>
    <t>Units — Downside Case</t>
  </si>
  <si>
    <t>Production Orders Placed (units)</t>
  </si>
  <si>
    <t>Ending Inventory (EOM)</t>
  </si>
  <si>
    <t>Weeks of Supply</t>
  </si>
  <si>
    <t>Estimated CAC ($)</t>
  </si>
  <si>
    <t>SECTION D — Contribution Margin Check  (yellow = your work)</t>
  </si>
  <si>
    <t>Base Case</t>
  </si>
  <si>
    <t>Upside</t>
  </si>
  <si>
    <t>Downside</t>
  </si>
  <si>
    <t>Year 1 Gross Revenue</t>
  </si>
  <si>
    <t>Year 1 COGS</t>
  </si>
  <si>
    <t>Year 1 Gross Profit</t>
  </si>
  <si>
    <t>Year 1 Marketing Spend</t>
  </si>
  <si>
    <t>Year 1 Contribution Margin $</t>
  </si>
  <si>
    <t>Year 1 Contribution Margin %</t>
  </si>
  <si>
    <t>Breakeven Unit Volume</t>
  </si>
  <si>
    <t>Months to Breakeven</t>
  </si>
  <si>
    <t>Q1: The Face Mask ($499) reached steady state in ~6 months. The Body Panel is 2.6x the price. How does that change the ramp shape? Faster or slower? Why?</t>
  </si>
  <si>
    <t>Q2: You have 2,800 waitlist signups. What Month 1 conversion rate do you assume, and how does that inform your base vs. upside case?</t>
  </si>
  <si>
    <t>Q3: Kevin says 15K. Marketing says 25K. Supply chain says 8K. What's your number and how did you get there?</t>
  </si>
  <si>
    <t>Q4: At what point in the ramp would you place your first reorder? What signal triggers it — a date, a unit threshold, or something else?</t>
  </si>
  <si>
    <t>Q5: If Month 1-2 sales come in 40% below your base case, what's your playbook? When do you cut spend vs. ride it out?</t>
  </si>
  <si>
    <t>SCENARIO 5: INVENTORY HEALTH  |  Where's the Cash Trapped?</t>
  </si>
  <si>
    <t>SECTION A — Inventory Snapshot (given: as of March 1, 2026)</t>
  </si>
  <si>
    <t>Units
On Hand</t>
  </si>
  <si>
    <t>COGS/
Unit</t>
  </si>
  <si>
    <t>Avg Monthly
Units Sold</t>
  </si>
  <si>
    <t>Inventory
Value ($)</t>
  </si>
  <si>
    <t>Days of
Supply</t>
  </si>
  <si>
    <t>Months of
Supply</t>
  </si>
  <si>
    <t>Franchise SKU — premium margin</t>
  </si>
  <si>
    <t>Volume workhorse — Costco + Amazon</t>
  </si>
  <si>
    <t>Entry level — highest return rate</t>
  </si>
  <si>
    <t>Growing — new category</t>
  </si>
  <si>
    <t>Slow seller, 14% returns</t>
  </si>
  <si>
    <t>Illumina Eye Mask</t>
  </si>
  <si>
    <t>Small SKU</t>
  </si>
  <si>
    <t>High volume, high margin, low COGS</t>
  </si>
  <si>
    <t>SECTION B — Inventory Aging (given: units by age bucket)</t>
  </si>
  <si>
    <t>0-30
days</t>
  </si>
  <si>
    <t>31-60
days</t>
  </si>
  <si>
    <t>61-90
days</t>
  </si>
  <si>
    <t>91-120
days</t>
  </si>
  <si>
    <t>120+
days</t>
  </si>
  <si>
    <t>% Over
90 Days</t>
  </si>
  <si>
    <t>SECTION C — Your Diagnosis  (yellow = calculations, green = written answers)</t>
  </si>
  <si>
    <t>Health
Rating
(A/B/C/D)</t>
  </si>
  <si>
    <t>Cash
Trapped ($)</t>
  </si>
  <si>
    <t>Root Cause
(demand? forecast?
product?)</t>
  </si>
  <si>
    <t>Recommended
Action</t>
  </si>
  <si>
    <t>Units
Affected</t>
  </si>
  <si>
    <t>Cash
Freed ($)</t>
  </si>
  <si>
    <t>TOTAL CASH FREED</t>
  </si>
  <si>
    <t>Q1: Which 2 SKUs have the worst inventory health? What specifically would you do about each within 30 days?</t>
  </si>
  <si>
    <t>Q2: The Neck &amp; Chest has 6.8 months of supply and 47% of units over 90 days old. Is this a demand problem, a forecast problem, or a product problem? How do you diagnose?</t>
  </si>
  <si>
    <t>Q3: Kevin wants 80% growth, which means buying MORE inventory. Finance wants to free up cash. How do you do both? Isn't that contradictory?</t>
  </si>
  <si>
    <t>Q4: Essential Helmet has the worst aging but it's also the entry-level product with the highest Amazon search volume. Do you discount, liquidate, or hold? What's the cost of each option?</t>
  </si>
  <si>
    <t>Q5: What 3 KPIs would you put on a weekly inventory dashboard? Who sees it? What triggers an escalation?</t>
  </si>
  <si>
    <t>SCENARIO 6: CHANNEL P&amp;L  |  DTC vs. Amazon vs. Costco vs. B2B — Where Do You Actually Make Money?</t>
  </si>
  <si>
    <t>SECTION A — Revenue &amp; Volume by Channel  (given: FY 2025)</t>
  </si>
  <si>
    <t>DTC</t>
  </si>
  <si>
    <t>Amazon</t>
  </si>
  <si>
    <t>Costco</t>
  </si>
  <si>
    <t>B2B / Clinic</t>
  </si>
  <si>
    <t>Total</t>
  </si>
  <si>
    <t>Gross Units Sold</t>
  </si>
  <si>
    <t>Blended ASP</t>
  </si>
  <si>
    <t>Gross Revenue</t>
  </si>
  <si>
    <t>Units Returned</t>
  </si>
  <si>
    <t>Net Units Sold</t>
  </si>
  <si>
    <t>Net Revenue</t>
  </si>
  <si>
    <t>SECTION B — Cost Structure by Channel  (given)</t>
  </si>
  <si>
    <t>Cost Line</t>
  </si>
  <si>
    <t>COGS % of Net Revenue</t>
  </si>
  <si>
    <t>Same product, same factory cost</t>
  </si>
  <si>
    <t>Fulfillment / Shipping per unit</t>
  </si>
  <si>
    <t>Amazon = FBA (in fees); B2B = FOB</t>
  </si>
  <si>
    <t>Platform / Marketplace Fees %</t>
  </si>
  <si>
    <t>Amazon referral + FBA fee</t>
  </si>
  <si>
    <t>Wholesale Discount / Margin %</t>
  </si>
  <si>
    <t>Costco takes 35%; clinics negotiate 25%</t>
  </si>
  <si>
    <t>Return Processing Cost / unit</t>
  </si>
  <si>
    <t>Outbound + return ship + inspection</t>
  </si>
  <si>
    <t>Ad Spend % of Gross Revenue</t>
  </si>
  <si>
    <t>DTC heaviest; Costco = coop ad fund</t>
  </si>
  <si>
    <t>Refurb Recovery Rate</t>
  </si>
  <si>
    <t>% of returns resold as refurbished</t>
  </si>
  <si>
    <t>Refurb Net Recovery / unit</t>
  </si>
  <si>
    <t>Resale value minus refurb processing</t>
  </si>
  <si>
    <t>SECTION C — Build the Channel P&amp;L  (yellow = your work)</t>
  </si>
  <si>
    <t>P&amp;L Line</t>
  </si>
  <si>
    <t>COGS</t>
  </si>
  <si>
    <t>Gross Profit</t>
  </si>
  <si>
    <t>Gross Margin %</t>
  </si>
  <si>
    <t>Fulfillment / Shipping</t>
  </si>
  <si>
    <t>Platform / Marketplace Fees</t>
  </si>
  <si>
    <t>Wholesale Discount Given</t>
  </si>
  <si>
    <t>Ad Spend</t>
  </si>
  <si>
    <t>Return Processing Costs (total)</t>
  </si>
  <si>
    <t>Refurb Recovery (credit)</t>
  </si>
  <si>
    <t>Net Return Cost</t>
  </si>
  <si>
    <t>Contribution Profit</t>
  </si>
  <si>
    <t>Contribution Margin %</t>
  </si>
  <si>
    <t>Revenue per Unit (net of returns)</t>
  </si>
  <si>
    <t>Cost per Unit (fully loaded)</t>
  </si>
  <si>
    <t>Profit per Unit</t>
  </si>
  <si>
    <t>SECTION D — Channel Strategy Questions  (green = written answer)</t>
  </si>
  <si>
    <t>Q1: Rank the 4 channels by contribution margin %. Which channel looks best on paper? Does that match where Kevin is investing growth dollars?</t>
  </si>
  <si>
    <t>Q2: Costco drives volume but at 35% wholesale discount + 28% return rate. Calculate the fully-loaded profit per Costco unit vs. DTC unit. Is Costco worth it?</t>
  </si>
  <si>
    <t>Q3: Amazon's 15% platform fee + 18% ad spend = 33% of revenue gone before COGS. At what return rate does Amazon become unprofitable? Where is it today?</t>
  </si>
  <si>
    <t>Q4: B2B / Clinic has the best unit economics by far but is only 4% of volume. Kevin just hired a B2B sales rep. How aggressively would you shift resources here, and what's the risk?</t>
  </si>
  <si>
    <t>Q5: If you could move 5,000 units from the worst-margin channel to the best-margin channel, what's the P&amp;L impact? Is that realistic?</t>
  </si>
  <si>
    <t>Q6: Kevin says 'we're a DTC brand.' The data might say something different. How do you present this to Kevin without threatening his identity?</t>
  </si>
  <si>
    <t>Plan for extra shift + temp labor</t>
  </si>
  <si>
    <t>COO</t>
  </si>
  <si>
    <t>highest max / avg ratio</t>
  </si>
  <si>
    <t>highest cov, more safety stock needed</t>
  </si>
  <si>
    <t>12 weeks x 40 hrs week x 6 people x $30/hr = $86,400</t>
  </si>
  <si>
    <t>Slow to ship orders, breaking costco SLA, unhappy customers, increase in return rates</t>
  </si>
  <si>
    <t>Yes, for 3300 units to ensure we're covered for 10x surge (assuming we have cash)</t>
  </si>
  <si>
    <t>$561,000 (assuming $170 COGS and 3300 units)</t>
  </si>
  <si>
    <t>Miss out on revenue, potentially (3300 * 1699 = $5.6M)</t>
  </si>
  <si>
    <t>Perform any QC necessary, prep for costco staging</t>
  </si>
  <si>
    <t>Warehouse manager</t>
  </si>
  <si>
    <t>n/a</t>
  </si>
  <si>
    <t>potential chargebacks from costco</t>
  </si>
  <si>
    <t>Confirm forecasts</t>
  </si>
  <si>
    <t>listed above</t>
  </si>
  <si>
    <t>Need to ensure we have enough staff, otherwise risks mentioned above</t>
  </si>
  <si>
    <t>Prep warehouse staff for receipt, ensure we're keeping FIFO stock</t>
  </si>
  <si>
    <t>COO or whoever leads that account interaction</t>
  </si>
  <si>
    <t>- Confirm w/ CostCo
- Ensure CX prepped</t>
  </si>
  <si>
    <t>Refresh team on full plan</t>
  </si>
  <si>
    <t>Prep for returns and "save the sale" CX</t>
  </si>
  <si>
    <t>Prep CX team and warehouse staff for surge</t>
  </si>
  <si>
    <t>Hopefully no backlog, but if there is - proactively communicate to those customers about any delays</t>
  </si>
  <si>
    <t>CX lead</t>
  </si>
  <si>
    <t>- Contracts confirmed with at least 2 temp staffing agencies
- Prep CX team for surge - and add more CX agents if necessary (though use AI where possible)
- Ensure warehouse is organized and prepared for DTC orders vs staging area for costco online orders</t>
  </si>
  <si>
    <t>With temp staff we're only breaching in the 8x and 10x scenarios. That tells us that the Sept 15 temp labor commitment needs to have additional nuance added, to allow for additional flexing up. We should also monitor sales weekly (and daily) in case we immediately want to flex up once the promo starts (and we should have a sense of promo demand as soon as it starts)</t>
  </si>
  <si>
    <t>At the 8x demand level is when we start surpassing our current + inbound inventory. If we wanted to air freight the units I suggested (that allows for 10x case), that would cost $12 x 3300 units = $39,600.
Conversely, the revenue we'd lose out on if we couldn't meet the demand of an additional 3300 units would be 3300 x $1699/ea = ~$5.6M</t>
  </si>
  <si>
    <t>This is basically addressed in question 3. Our current inventory can meet the demand, but we'd have to keep an eye on daily sales and potentially pull the trigger on air freight for 3300 units. This all assumes that the units have been produced already and are sitting in the factory (which could separately be arranged).</t>
  </si>
  <si>
    <t>I would add a layer of scenario planning to the S&amp;OP (done weekly pre-promo, but then daily during the promo) - and this would allow us to look at the 3x, 5x, 8x, 10x scenarios. I would ensure we're also surfacing any potential surge costs, like temp labor, air freight, increased CX, etc.</t>
  </si>
  <si>
    <t>OK</t>
  </si>
  <si>
    <t>Illumina neck and chest. This implies we should have more safety stock on hand</t>
  </si>
  <si>
    <t>It depends, if it's not taking up too much warehouse space, and tieing up too much cash relatively speaking, than it's fine. If we determine it's a bit too much inventory, we can always run some promos / flash sales for that item to drop the stock down a bit and generate some cash</t>
  </si>
  <si>
    <t>I would choose the elite helmet, the facemask and the serums. The elite helmet because it's the highest CV of the helmets, the facemask because it's the only SKU in that specific product category, and same reason for the serums.</t>
  </si>
  <si>
    <t>I would assume 4 weeks of additional lead time on any orders, which could lead to an increase in safety stock to have on hand across products.</t>
  </si>
  <si>
    <t xml:space="preserve">Yes, with the family relationship I would aim to have safety stock produced and available at the factory, ready to ship out on demand (Assuming there's physical space for this). Separately, I'd be more comfortable shipping some safety stock (higher stock at our warehouse) since we have such favorable payment terms.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</si>
</sst>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0"/>
    <numFmt numFmtId="165" formatCode="0.0%"/>
    <numFmt numFmtId="166" formatCode="0.0"/>
    <numFmt numFmtId="167" formatCode="&quot;$&quot;#,##0"/>
    <numFmt numFmtId="168" formatCode="#,##0.0"/>
    <numFmt numFmtId="169" formatCode="\+#,##0.0;\-#,##0.0;0.0"/>
    <numFmt numFmtId="170" formatCode="\+#,##0;\(#,##0\);0"/>
  </numFmts>
  <fonts count="20" x14ac:knownFonts="1">
    <font>
      <sz val="11"/>
      <color theme="1"/>
      <name val="Calibri"/>
      <family val="2"/>
      <scheme val="minor"/>
    </font>
    <font>
      <b/>
      <sz val="14"/>
      <color rgb="FF1B3A5C"/>
      <name val="Calibri"/>
      <family val="2"/>
    </font>
    <font>
      <sz val="11"/>
      <name val="Calibri"/>
      <family val="2"/>
    </font>
    <font>
      <b/>
      <sz val="11"/>
      <name val="Calibri"/>
      <family val="2"/>
    </font>
    <font>
      <b/>
      <sz val="13"/>
      <color rgb="FF1B3A5C"/>
      <name val="Calibri"/>
      <family val="2"/>
    </font>
    <font>
      <b/>
      <sz val="11"/>
      <color rgb="FF1B3A5C"/>
      <name val="Calibri"/>
      <family val="2"/>
    </font>
    <font>
      <b/>
      <sz val="11"/>
      <color rgb="FFFFFFFF"/>
      <name val="Calibri"/>
      <family val="2"/>
    </font>
    <font>
      <i/>
      <sz val="10"/>
      <color rgb="FF666666"/>
      <name val="Calibri"/>
      <family val="2"/>
    </font>
    <font>
      <sz val="11"/>
      <color theme="1"/>
      <name val="Calibri"/>
      <family val="2"/>
      <scheme val="minor"/>
    </font>
    <font>
      <b/>
      <sz val="10"/>
      <color rgb="FFFFFFFF"/>
      <name val="Calibri"/>
      <family val="2"/>
    </font>
    <font>
      <sz val="10"/>
      <name val="Calibri"/>
      <family val="2"/>
    </font>
    <font>
      <i/>
      <sz val="9"/>
      <color rgb="FF444444"/>
      <name val="Calibri"/>
      <family val="2"/>
    </font>
    <font>
      <sz val="11"/>
      <name val="Calibri"/>
      <family val="2"/>
    </font>
    <font>
      <b/>
      <sz val="13"/>
      <color rgb="FFFFFFFF"/>
      <name val="Calibri"/>
      <family val="2"/>
    </font>
    <font>
      <i/>
      <sz val="10"/>
      <color rgb="FF404040"/>
      <name val="Calibri"/>
      <family val="2"/>
    </font>
    <font>
      <b/>
      <sz val="11"/>
      <color rgb="FFFFFFFF"/>
      <name val="Calibri"/>
      <family val="2"/>
    </font>
    <font>
      <sz val="11"/>
      <color rgb="FF000000"/>
      <name val="Calibri"/>
      <family val="2"/>
    </font>
    <font>
      <i/>
      <sz val="10"/>
      <color rgb="FF595959"/>
      <name val="Calibri"/>
      <family val="2"/>
    </font>
    <font>
      <b/>
      <sz val="11"/>
      <color rgb="FF000000"/>
      <name val="Calibri"/>
      <family val="2"/>
    </font>
    <font>
      <b/>
      <sz val="11"/>
      <color rgb="FF1F4E79"/>
      <name val="Calibri"/>
      <family val="2"/>
    </font>
  </fonts>
  <fills count="14">
    <fill>
      <patternFill patternType="none"/>
    </fill>
    <fill>
      <patternFill patternType="gray125"/>
    </fill>
    <fill>
      <patternFill patternType="solid">
        <fgColor rgb="FF1B3A5C"/>
        <bgColor rgb="FF1B3A5C"/>
      </patternFill>
    </fill>
    <fill>
      <patternFill patternType="solid">
        <fgColor rgb="FFFFF2CC"/>
        <bgColor rgb="FFFFF2CC"/>
      </patternFill>
    </fill>
    <fill>
      <patternFill patternType="solid">
        <fgColor rgb="FFE2EFDA"/>
        <bgColor rgb="FFE2EFDA"/>
      </patternFill>
    </fill>
    <fill>
      <patternFill patternType="solid">
        <fgColor rgb="FF1F4E79"/>
      </patternFill>
    </fill>
    <fill>
      <patternFill patternType="solid">
        <fgColor rgb="FF1F4E79"/>
        <bgColor rgb="FF1F4E79"/>
      </patternFill>
    </fill>
    <fill>
      <patternFill patternType="solid">
        <fgColor rgb="FF2E75B6"/>
        <bgColor rgb="FF2E75B6"/>
      </patternFill>
    </fill>
    <fill>
      <patternFill patternType="solid">
        <fgColor rgb="FF404040"/>
        <bgColor rgb="FF404040"/>
      </patternFill>
    </fill>
    <fill>
      <patternFill patternType="solid">
        <fgColor rgb="FFF2F2F2"/>
        <bgColor rgb="FFF2F2F2"/>
      </patternFill>
    </fill>
    <fill>
      <patternFill patternType="solid">
        <fgColor rgb="FFFFFFFF"/>
        <bgColor rgb="FFFFFFFF"/>
      </patternFill>
    </fill>
    <fill>
      <patternFill patternType="solid">
        <fgColor rgb="FFFFFF00"/>
        <bgColor rgb="FFFFFF00"/>
      </patternFill>
    </fill>
    <fill>
      <patternFill patternType="solid">
        <fgColor rgb="FFD6E4F0"/>
        <bgColor rgb="FFD6E4F0"/>
      </patternFill>
    </fill>
    <fill>
      <patternFill patternType="solid">
        <fgColor rgb="FFC6EFCE"/>
        <bgColor rgb="FFC6EFCE"/>
      </patternFill>
    </fill>
  </fills>
  <borders count="8">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style="thin">
        <color rgb="FFCCCCCC"/>
      </top>
      <bottom style="thin">
        <color rgb="FFCCCCCC"/>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8" fillId="0" borderId="0"/>
  </cellStyleXfs>
  <cellXfs count="7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6" fillId="2" borderId="1" xfId="0" applyFont="1" applyFill="1" applyBorder="1" applyAlignment="1">
      <alignment horizontal="center" vertical="top" wrapText="1"/>
    </xf>
    <xf numFmtId="0" fontId="3" fillId="0" borderId="1" xfId="0" applyFont="1" applyBorder="1" applyAlignment="1">
      <alignment vertical="top" wrapText="1"/>
    </xf>
    <xf numFmtId="3" fontId="2" fillId="0" borderId="1" xfId="0" applyNumberFormat="1" applyFont="1" applyBorder="1" applyAlignment="1">
      <alignment horizontal="center" vertical="top" wrapText="1"/>
    </xf>
    <xf numFmtId="3" fontId="3" fillId="0" borderId="1" xfId="0" applyNumberFormat="1" applyFont="1" applyBorder="1" applyAlignment="1">
      <alignment horizontal="center" vertical="top" wrapText="1"/>
    </xf>
    <xf numFmtId="0" fontId="7" fillId="0" borderId="1" xfId="0" applyFont="1" applyBorder="1" applyAlignment="1">
      <alignment vertical="top" wrapText="1"/>
    </xf>
    <xf numFmtId="164" fontId="2" fillId="0" borderId="1" xfId="0" applyNumberFormat="1" applyFont="1" applyBorder="1" applyAlignment="1">
      <alignment horizontal="center" vertical="top" wrapText="1"/>
    </xf>
    <xf numFmtId="9" fontId="2" fillId="0" borderId="1" xfId="0" applyNumberFormat="1" applyFont="1" applyBorder="1" applyAlignment="1">
      <alignment horizontal="center" vertical="top" wrapText="1"/>
    </xf>
    <xf numFmtId="3" fontId="0" fillId="3" borderId="1" xfId="0" applyNumberFormat="1" applyFill="1" applyBorder="1" applyAlignment="1">
      <alignment horizontal="center" vertical="top" wrapText="1"/>
    </xf>
    <xf numFmtId="165" fontId="0" fillId="3" borderId="1" xfId="0" applyNumberFormat="1" applyFill="1" applyBorder="1" applyAlignment="1">
      <alignment horizontal="center" vertical="top" wrapText="1"/>
    </xf>
    <xf numFmtId="0" fontId="0" fillId="4" borderId="1" xfId="0" applyFill="1" applyBorder="1" applyAlignment="1">
      <alignment vertical="top" wrapText="1"/>
    </xf>
    <xf numFmtId="3" fontId="3" fillId="3" borderId="1" xfId="0" applyNumberFormat="1" applyFont="1" applyFill="1" applyBorder="1" applyAlignment="1">
      <alignment horizontal="center" vertical="top" wrapText="1"/>
    </xf>
    <xf numFmtId="164" fontId="0" fillId="3" borderId="1" xfId="0" applyNumberFormat="1" applyFill="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horizontal="center" vertical="top" wrapText="1"/>
    </xf>
    <xf numFmtId="0" fontId="0" fillId="3" borderId="1" xfId="0" applyFill="1" applyBorder="1" applyAlignment="1">
      <alignment horizontal="center" vertical="top" wrapText="1"/>
    </xf>
    <xf numFmtId="166" fontId="0" fillId="3" borderId="1" xfId="0" applyNumberFormat="1" applyFill="1" applyBorder="1" applyAlignment="1">
      <alignment horizontal="center" vertical="top" wrapText="1"/>
    </xf>
    <xf numFmtId="9" fontId="0" fillId="3" borderId="1" xfId="0" applyNumberFormat="1" applyFill="1" applyBorder="1" applyAlignment="1">
      <alignment horizontal="center" vertical="top" wrapText="1"/>
    </xf>
    <xf numFmtId="44" fontId="0" fillId="3" borderId="4" xfId="1" applyFont="1" applyFill="1" applyBorder="1" applyAlignment="1">
      <alignment horizontal="center" vertical="top" wrapText="1"/>
    </xf>
    <xf numFmtId="44" fontId="0" fillId="0" borderId="0" xfId="1" applyFont="1"/>
    <xf numFmtId="3" fontId="3" fillId="0" borderId="4" xfId="0" applyNumberFormat="1" applyFont="1" applyBorder="1" applyAlignment="1">
      <alignment horizontal="center" vertical="top" wrapText="1"/>
    </xf>
    <xf numFmtId="0" fontId="9" fillId="5" borderId="5" xfId="0" applyFont="1" applyFill="1" applyBorder="1" applyAlignment="1">
      <alignment horizontal="center" vertical="center" wrapText="1"/>
    </xf>
    <xf numFmtId="164" fontId="10" fillId="0" borderId="5" xfId="0" applyNumberFormat="1" applyFont="1" applyBorder="1" applyAlignment="1">
      <alignment horizontal="right" vertical="center"/>
    </xf>
    <xf numFmtId="9" fontId="10" fillId="0" borderId="5" xfId="0" applyNumberFormat="1" applyFont="1" applyBorder="1" applyAlignment="1">
      <alignment horizontal="right" vertical="center"/>
    </xf>
    <xf numFmtId="0" fontId="11" fillId="0" borderId="0" xfId="0" applyFont="1"/>
    <xf numFmtId="0" fontId="3" fillId="0" borderId="4" xfId="0" applyFont="1" applyBorder="1" applyAlignment="1">
      <alignment vertical="top" wrapText="1"/>
    </xf>
    <xf numFmtId="14" fontId="0" fillId="0" borderId="0" xfId="0" applyNumberFormat="1"/>
    <xf numFmtId="3" fontId="0" fillId="3" borderId="4" xfId="0" applyNumberFormat="1" applyFill="1" applyBorder="1" applyAlignment="1">
      <alignment horizontal="center" vertical="top" wrapText="1"/>
    </xf>
    <xf numFmtId="0" fontId="12" fillId="0" borderId="6" xfId="0" applyFont="1" applyBorder="1"/>
    <xf numFmtId="0" fontId="15" fillId="8" borderId="6" xfId="0" applyFont="1" applyFill="1" applyBorder="1" applyAlignment="1">
      <alignment horizontal="left" vertical="center"/>
    </xf>
    <xf numFmtId="0" fontId="15" fillId="8" borderId="6" xfId="0" applyFont="1" applyFill="1" applyBorder="1" applyAlignment="1">
      <alignment horizontal="center" vertical="center"/>
    </xf>
    <xf numFmtId="0" fontId="15" fillId="8" borderId="0" xfId="0" applyFont="1" applyFill="1" applyAlignment="1">
      <alignment horizontal="left" vertical="center"/>
    </xf>
    <xf numFmtId="0" fontId="16" fillId="9" borderId="6" xfId="0" applyFont="1" applyFill="1" applyBorder="1" applyAlignment="1">
      <alignment horizontal="left" vertical="center"/>
    </xf>
    <xf numFmtId="3" fontId="12" fillId="9" borderId="6" xfId="0" applyNumberFormat="1" applyFont="1" applyFill="1" applyBorder="1" applyAlignment="1">
      <alignment horizontal="center" vertical="center"/>
    </xf>
    <xf numFmtId="0" fontId="17" fillId="9" borderId="0" xfId="0" applyFont="1" applyFill="1" applyAlignment="1">
      <alignment horizontal="left" vertical="center"/>
    </xf>
    <xf numFmtId="0" fontId="16" fillId="10" borderId="6" xfId="0" applyFont="1" applyFill="1" applyBorder="1" applyAlignment="1">
      <alignment horizontal="left" vertical="center"/>
    </xf>
    <xf numFmtId="3" fontId="12" fillId="10" borderId="6" xfId="0" applyNumberFormat="1" applyFont="1" applyFill="1" applyBorder="1" applyAlignment="1">
      <alignment horizontal="center" vertical="center"/>
    </xf>
    <xf numFmtId="0" fontId="17" fillId="10" borderId="0" xfId="0" applyFont="1" applyFill="1" applyAlignment="1">
      <alignment horizontal="left" vertical="center"/>
    </xf>
    <xf numFmtId="0" fontId="12" fillId="10" borderId="6" xfId="0" applyFont="1" applyFill="1" applyBorder="1" applyAlignment="1">
      <alignment horizontal="center" vertical="center"/>
    </xf>
    <xf numFmtId="167" fontId="12" fillId="9" borderId="6" xfId="0" applyNumberFormat="1" applyFont="1" applyFill="1" applyBorder="1" applyAlignment="1">
      <alignment horizontal="center" vertical="center"/>
    </xf>
    <xf numFmtId="9" fontId="12" fillId="10" borderId="6" xfId="0" applyNumberFormat="1" applyFont="1" applyFill="1" applyBorder="1" applyAlignment="1">
      <alignment horizontal="center" vertical="center"/>
    </xf>
    <xf numFmtId="0" fontId="18" fillId="0" borderId="6" xfId="0" applyFont="1" applyBorder="1" applyAlignment="1">
      <alignment horizontal="left" vertical="center"/>
    </xf>
    <xf numFmtId="0" fontId="18" fillId="0" borderId="6" xfId="0" applyFont="1" applyBorder="1" applyAlignment="1">
      <alignment horizontal="center" vertical="center"/>
    </xf>
    <xf numFmtId="0" fontId="16" fillId="0" borderId="6" xfId="0" applyFont="1" applyBorder="1" applyAlignment="1">
      <alignment horizontal="left" vertical="center"/>
    </xf>
    <xf numFmtId="3" fontId="12" fillId="11" borderId="6" xfId="0" applyNumberFormat="1" applyFont="1" applyFill="1" applyBorder="1" applyAlignment="1">
      <alignment horizontal="center" vertical="center"/>
    </xf>
    <xf numFmtId="168" fontId="12" fillId="11" borderId="6" xfId="0" applyNumberFormat="1" applyFont="1" applyFill="1" applyBorder="1" applyAlignment="1">
      <alignment horizontal="center" vertical="center"/>
    </xf>
    <xf numFmtId="169" fontId="12" fillId="11" borderId="6" xfId="0" applyNumberFormat="1" applyFont="1" applyFill="1" applyBorder="1" applyAlignment="1">
      <alignment horizontal="center" vertical="center"/>
    </xf>
    <xf numFmtId="170" fontId="12" fillId="11" borderId="6" xfId="0" applyNumberFormat="1" applyFont="1" applyFill="1" applyBorder="1" applyAlignment="1">
      <alignment horizontal="center" vertical="center"/>
    </xf>
    <xf numFmtId="0" fontId="18" fillId="9" borderId="6" xfId="0" applyFont="1" applyFill="1" applyBorder="1" applyAlignment="1">
      <alignment horizontal="left" vertical="center"/>
    </xf>
    <xf numFmtId="0" fontId="19" fillId="12" borderId="6" xfId="0" applyFont="1" applyFill="1" applyBorder="1" applyAlignment="1">
      <alignment horizontal="left" vertical="center"/>
    </xf>
    <xf numFmtId="0" fontId="0" fillId="0" borderId="0" xfId="0"/>
    <xf numFmtId="0" fontId="14" fillId="0" borderId="6" xfId="0" applyFont="1" applyBorder="1" applyAlignment="1">
      <alignment horizontal="left" vertical="center" wrapText="1"/>
    </xf>
    <xf numFmtId="0" fontId="16" fillId="0" borderId="6" xfId="0" applyFont="1" applyBorder="1" applyAlignment="1">
      <alignment horizontal="left" vertical="center" wrapText="1"/>
    </xf>
    <xf numFmtId="0" fontId="0" fillId="13" borderId="0" xfId="0" applyFill="1" applyAlignment="1">
      <alignment horizontal="left" vertical="top" wrapText="1"/>
    </xf>
    <xf numFmtId="0" fontId="15" fillId="7" borderId="6" xfId="0" applyFont="1" applyFill="1" applyBorder="1" applyAlignment="1">
      <alignment horizontal="left" vertical="center"/>
    </xf>
    <xf numFmtId="0" fontId="13" fillId="6" borderId="6" xfId="0" applyFont="1" applyFill="1" applyBorder="1" applyAlignment="1">
      <alignment horizontal="center" vertical="center"/>
    </xf>
    <xf numFmtId="0" fontId="16" fillId="0" borderId="0" xfId="0" applyFont="1" applyAlignment="1">
      <alignment horizontal="left" vertical="center" wrapText="1"/>
    </xf>
    <xf numFmtId="0" fontId="0" fillId="4" borderId="5" xfId="0" applyFill="1" applyBorder="1" applyAlignment="1">
      <alignment vertical="top" wrapText="1"/>
    </xf>
    <xf numFmtId="0" fontId="0" fillId="0" borderId="2" xfId="0" applyBorder="1"/>
    <xf numFmtId="0" fontId="0" fillId="0" borderId="3" xfId="0" applyBorder="1"/>
    <xf numFmtId="0" fontId="7" fillId="0" borderId="5" xfId="0" applyFont="1" applyBorder="1" applyAlignment="1">
      <alignment vertical="top" wrapText="1"/>
    </xf>
    <xf numFmtId="0" fontId="2" fillId="0" borderId="5" xfId="0" applyFont="1" applyBorder="1" applyAlignment="1">
      <alignment vertical="top" wrapText="1"/>
    </xf>
    <xf numFmtId="0" fontId="5" fillId="0" borderId="0" xfId="0" applyFont="1"/>
    <xf numFmtId="0" fontId="2" fillId="13" borderId="7" xfId="0" applyFont="1" applyFill="1" applyBorder="1" applyAlignment="1">
      <alignment horizontal="left" vertical="center" wrapText="1"/>
    </xf>
    <xf numFmtId="0" fontId="12" fillId="13" borderId="7" xfId="0" applyFont="1" applyFill="1" applyBorder="1" applyAlignment="1">
      <alignment horizontal="left" vertical="center" wrapText="1"/>
    </xf>
    <xf numFmtId="0" fontId="2" fillId="13" borderId="7" xfId="0" quotePrefix="1" applyFont="1" applyFill="1" applyBorder="1" applyAlignment="1">
      <alignment horizontal="left" vertical="center" wrapText="1"/>
    </xf>
    <xf numFmtId="0" fontId="2" fillId="13" borderId="6" xfId="0" quotePrefix="1" applyFont="1" applyFill="1" applyBorder="1" applyAlignment="1">
      <alignment horizontal="left" vertical="top" wrapText="1"/>
    </xf>
    <xf numFmtId="0" fontId="2" fillId="13" borderId="6" xfId="0" applyFont="1" applyFill="1" applyBorder="1" applyAlignment="1">
      <alignment horizontal="left" vertical="top" wrapText="1"/>
    </xf>
    <xf numFmtId="2" fontId="0" fillId="3" borderId="1" xfId="0" applyNumberFormat="1" applyFill="1" applyBorder="1" applyAlignment="1">
      <alignment horizontal="center" vertical="top" wrapText="1"/>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5C"/>
  </sheetPr>
  <dimension ref="A1:A20"/>
  <sheetViews>
    <sheetView zoomScale="265" zoomScaleNormal="265" workbookViewId="0"/>
  </sheetViews>
  <sheetFormatPr baseColWidth="10" defaultColWidth="8.83203125" defaultRowHeight="15" x14ac:dyDescent="0.2"/>
  <cols>
    <col min="1" max="1" width="100" customWidth="1"/>
  </cols>
  <sheetData>
    <row r="1" spans="1:1" ht="19" customHeight="1" x14ac:dyDescent="0.25">
      <c r="A1" s="1" t="s">
        <v>72</v>
      </c>
    </row>
    <row r="3" spans="1:1" x14ac:dyDescent="0.2">
      <c r="A3" s="2" t="s">
        <v>73</v>
      </c>
    </row>
    <row r="5" spans="1:1" x14ac:dyDescent="0.2">
      <c r="A5" s="2" t="s">
        <v>74</v>
      </c>
    </row>
    <row r="6" spans="1:1" x14ac:dyDescent="0.2">
      <c r="A6" s="2" t="s">
        <v>75</v>
      </c>
    </row>
    <row r="7" spans="1:1" x14ac:dyDescent="0.2">
      <c r="A7" s="2" t="s">
        <v>76</v>
      </c>
    </row>
    <row r="8" spans="1:1" x14ac:dyDescent="0.2">
      <c r="A8" s="2" t="s">
        <v>77</v>
      </c>
    </row>
    <row r="9" spans="1:1" x14ac:dyDescent="0.2">
      <c r="A9" s="2" t="s">
        <v>78</v>
      </c>
    </row>
    <row r="10" spans="1:1" x14ac:dyDescent="0.2">
      <c r="A10" s="2" t="s">
        <v>79</v>
      </c>
    </row>
    <row r="12" spans="1:1" x14ac:dyDescent="0.2">
      <c r="A12" s="3" t="s">
        <v>80</v>
      </c>
    </row>
    <row r="13" spans="1:1" x14ac:dyDescent="0.2">
      <c r="A13" s="2" t="s">
        <v>81</v>
      </c>
    </row>
    <row r="14" spans="1:1" x14ac:dyDescent="0.2">
      <c r="A14" s="2" t="s">
        <v>82</v>
      </c>
    </row>
    <row r="15" spans="1:1" x14ac:dyDescent="0.2">
      <c r="A15" s="2" t="s">
        <v>83</v>
      </c>
    </row>
    <row r="17" spans="1:1" x14ac:dyDescent="0.2">
      <c r="A17" s="3" t="s">
        <v>84</v>
      </c>
    </row>
    <row r="18" spans="1:1" x14ac:dyDescent="0.2">
      <c r="A18" s="2" t="s">
        <v>85</v>
      </c>
    </row>
    <row r="19" spans="1:1" x14ac:dyDescent="0.2">
      <c r="A19" s="2" t="s">
        <v>86</v>
      </c>
    </row>
    <row r="20" spans="1:1" x14ac:dyDescent="0.2">
      <c r="A20" s="2"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3A5C"/>
  </sheetPr>
  <dimension ref="A1:S52"/>
  <sheetViews>
    <sheetView topLeftCell="A43" zoomScale="202" zoomScaleNormal="202" workbookViewId="0">
      <selection activeCell="A53" sqref="A53"/>
    </sheetView>
  </sheetViews>
  <sheetFormatPr baseColWidth="10" defaultColWidth="8.83203125" defaultRowHeight="15" x14ac:dyDescent="0.2"/>
  <cols>
    <col min="1" max="1" width="34" customWidth="1"/>
    <col min="2" max="14" width="12" customWidth="1"/>
    <col min="15" max="15" width="14" customWidth="1"/>
  </cols>
  <sheetData>
    <row r="1" spans="1:15" ht="17" customHeight="1" x14ac:dyDescent="0.2">
      <c r="A1" s="4" t="s">
        <v>88</v>
      </c>
    </row>
    <row r="3" spans="1:15" x14ac:dyDescent="0.2">
      <c r="A3" s="66" t="s">
        <v>89</v>
      </c>
      <c r="B3" s="54"/>
      <c r="C3" s="54"/>
      <c r="D3" s="54"/>
      <c r="E3" s="54"/>
      <c r="F3" s="54"/>
      <c r="G3" s="54"/>
      <c r="H3" s="54"/>
      <c r="I3" s="54"/>
      <c r="J3" s="54"/>
      <c r="K3" s="54"/>
      <c r="L3" s="54"/>
      <c r="M3" s="54"/>
      <c r="N3" s="54"/>
    </row>
    <row r="4" spans="1:15" ht="16" customHeight="1" x14ac:dyDescent="0.2">
      <c r="A4" s="5" t="s">
        <v>90</v>
      </c>
      <c r="B4" s="5" t="s">
        <v>91</v>
      </c>
      <c r="C4" s="5" t="s">
        <v>92</v>
      </c>
      <c r="D4" s="5" t="s">
        <v>93</v>
      </c>
      <c r="E4" s="5" t="s">
        <v>94</v>
      </c>
      <c r="F4" s="5" t="s">
        <v>95</v>
      </c>
      <c r="G4" s="5" t="s">
        <v>96</v>
      </c>
      <c r="H4" s="5" t="s">
        <v>97</v>
      </c>
      <c r="I4" s="5" t="s">
        <v>98</v>
      </c>
      <c r="J4" s="5" t="s">
        <v>99</v>
      </c>
      <c r="K4" s="5" t="s">
        <v>100</v>
      </c>
      <c r="L4" s="5" t="s">
        <v>101</v>
      </c>
      <c r="M4" s="5" t="s">
        <v>102</v>
      </c>
      <c r="N4" s="5" t="s">
        <v>103</v>
      </c>
    </row>
    <row r="5" spans="1:15" ht="16" customHeight="1" x14ac:dyDescent="0.2">
      <c r="A5" s="6" t="s">
        <v>104</v>
      </c>
      <c r="B5" s="7">
        <v>1200</v>
      </c>
      <c r="C5" s="7">
        <v>1150</v>
      </c>
      <c r="D5" s="7">
        <v>1400</v>
      </c>
      <c r="E5" s="7">
        <v>1550</v>
      </c>
      <c r="F5" s="7">
        <v>1600</v>
      </c>
      <c r="G5" s="7">
        <v>1700</v>
      </c>
      <c r="H5" s="7">
        <v>1750</v>
      </c>
      <c r="I5" s="7">
        <v>1700</v>
      </c>
      <c r="J5" s="7">
        <v>1900</v>
      </c>
      <c r="K5" s="7">
        <v>2150</v>
      </c>
      <c r="L5" s="7">
        <v>3100</v>
      </c>
      <c r="M5" s="7">
        <v>2800</v>
      </c>
      <c r="N5" s="8">
        <v>22000</v>
      </c>
    </row>
    <row r="6" spans="1:15" ht="16" customHeight="1" x14ac:dyDescent="0.2">
      <c r="A6" s="6" t="s">
        <v>105</v>
      </c>
      <c r="B6" s="7">
        <v>1600</v>
      </c>
      <c r="C6" s="7">
        <v>1550</v>
      </c>
      <c r="D6" s="7">
        <v>1850</v>
      </c>
      <c r="E6" s="7">
        <v>2000</v>
      </c>
      <c r="F6" s="7">
        <v>2100</v>
      </c>
      <c r="G6" s="7">
        <v>2250</v>
      </c>
      <c r="H6" s="7">
        <v>2300</v>
      </c>
      <c r="I6" s="7">
        <v>2250</v>
      </c>
      <c r="J6" s="7">
        <v>2550</v>
      </c>
      <c r="K6" s="7">
        <v>2900</v>
      </c>
      <c r="L6" s="7">
        <v>4200</v>
      </c>
      <c r="M6" s="7">
        <v>3700</v>
      </c>
      <c r="N6" s="8">
        <v>29250</v>
      </c>
    </row>
    <row r="7" spans="1:15" ht="16" customHeight="1" x14ac:dyDescent="0.2">
      <c r="A7" s="6" t="s">
        <v>106</v>
      </c>
      <c r="B7" s="7">
        <v>1400</v>
      </c>
      <c r="C7" s="7">
        <v>1350</v>
      </c>
      <c r="D7" s="7">
        <v>1600</v>
      </c>
      <c r="E7" s="7">
        <v>1750</v>
      </c>
      <c r="F7" s="7">
        <v>1800</v>
      </c>
      <c r="G7" s="7">
        <v>1950</v>
      </c>
      <c r="H7" s="7">
        <v>2000</v>
      </c>
      <c r="I7" s="7">
        <v>1950</v>
      </c>
      <c r="J7" s="7">
        <v>2200</v>
      </c>
      <c r="K7" s="7">
        <v>2550</v>
      </c>
      <c r="L7" s="7">
        <v>3800</v>
      </c>
      <c r="M7" s="7">
        <v>3400</v>
      </c>
      <c r="N7" s="8">
        <v>25750</v>
      </c>
    </row>
    <row r="8" spans="1:15" ht="16" customHeight="1" x14ac:dyDescent="0.2">
      <c r="A8" s="6" t="s">
        <v>107</v>
      </c>
      <c r="B8" s="7">
        <v>850</v>
      </c>
      <c r="C8" s="7">
        <v>800</v>
      </c>
      <c r="D8" s="7">
        <v>1000</v>
      </c>
      <c r="E8" s="7">
        <v>1100</v>
      </c>
      <c r="F8" s="7">
        <v>1150</v>
      </c>
      <c r="G8" s="7">
        <v>1250</v>
      </c>
      <c r="H8" s="7">
        <v>1300</v>
      </c>
      <c r="I8" s="7">
        <v>1250</v>
      </c>
      <c r="J8" s="7">
        <v>1450</v>
      </c>
      <c r="K8" s="7">
        <v>1700</v>
      </c>
      <c r="L8" s="7">
        <v>2600</v>
      </c>
      <c r="M8" s="7">
        <v>2300</v>
      </c>
      <c r="N8" s="8">
        <v>16750</v>
      </c>
    </row>
    <row r="9" spans="1:15" ht="16" customHeight="1" x14ac:dyDescent="0.2">
      <c r="A9" s="6" t="s">
        <v>108</v>
      </c>
      <c r="B9" s="7">
        <v>500</v>
      </c>
      <c r="C9" s="7">
        <v>450</v>
      </c>
      <c r="D9" s="7">
        <v>550</v>
      </c>
      <c r="E9" s="7">
        <v>600</v>
      </c>
      <c r="F9" s="7">
        <v>650</v>
      </c>
      <c r="G9" s="7">
        <v>700</v>
      </c>
      <c r="H9" s="7">
        <v>720</v>
      </c>
      <c r="I9" s="7">
        <v>700</v>
      </c>
      <c r="J9" s="7">
        <v>800</v>
      </c>
      <c r="K9" s="7">
        <v>950</v>
      </c>
      <c r="L9" s="7">
        <v>1500</v>
      </c>
      <c r="M9" s="7">
        <v>1300</v>
      </c>
      <c r="N9" s="8">
        <v>9420</v>
      </c>
    </row>
    <row r="10" spans="1:15" ht="16" customHeight="1" x14ac:dyDescent="0.2">
      <c r="A10" s="6" t="s">
        <v>109</v>
      </c>
      <c r="B10" s="7">
        <v>8500</v>
      </c>
      <c r="C10" s="7">
        <v>8200</v>
      </c>
      <c r="D10" s="7">
        <v>9800</v>
      </c>
      <c r="E10" s="7">
        <v>10800</v>
      </c>
      <c r="F10" s="7">
        <v>11300</v>
      </c>
      <c r="G10" s="7">
        <v>12200</v>
      </c>
      <c r="H10" s="7">
        <v>12600</v>
      </c>
      <c r="I10" s="7">
        <v>12200</v>
      </c>
      <c r="J10" s="7">
        <v>13900</v>
      </c>
      <c r="K10" s="7">
        <v>16000</v>
      </c>
      <c r="L10" s="7">
        <v>24000</v>
      </c>
      <c r="M10" s="7">
        <v>21000</v>
      </c>
      <c r="N10" s="8">
        <v>160500</v>
      </c>
    </row>
    <row r="11" spans="1:15" ht="16" customHeight="1" x14ac:dyDescent="0.2">
      <c r="A11" s="6" t="s">
        <v>110</v>
      </c>
      <c r="B11" s="8">
        <v>14050</v>
      </c>
      <c r="C11" s="8">
        <v>13500</v>
      </c>
      <c r="D11" s="8">
        <v>16200</v>
      </c>
      <c r="E11" s="8">
        <v>17800</v>
      </c>
      <c r="F11" s="8">
        <v>18600</v>
      </c>
      <c r="G11" s="8">
        <v>20050</v>
      </c>
      <c r="H11" s="8">
        <v>20670</v>
      </c>
      <c r="I11" s="8">
        <v>20050</v>
      </c>
      <c r="J11" s="8">
        <v>22800</v>
      </c>
      <c r="K11" s="8">
        <v>26250</v>
      </c>
      <c r="L11" s="8">
        <v>39200</v>
      </c>
      <c r="M11" s="8">
        <v>34500</v>
      </c>
      <c r="N11" s="8">
        <v>263670</v>
      </c>
      <c r="O11" s="24"/>
    </row>
    <row r="12" spans="1:15" x14ac:dyDescent="0.2">
      <c r="A12" s="64" t="s">
        <v>111</v>
      </c>
      <c r="B12" s="62"/>
      <c r="C12" s="62"/>
      <c r="D12" s="62"/>
      <c r="E12" s="62"/>
      <c r="F12" s="62"/>
      <c r="G12" s="62"/>
      <c r="H12" s="62"/>
      <c r="I12" s="62"/>
      <c r="J12" s="62"/>
      <c r="K12" s="62"/>
      <c r="L12" s="62"/>
      <c r="M12" s="62"/>
      <c r="N12" s="63"/>
    </row>
    <row r="14" spans="1:15" x14ac:dyDescent="0.2">
      <c r="A14" s="66" t="s">
        <v>112</v>
      </c>
      <c r="B14" s="54"/>
      <c r="C14" s="54"/>
      <c r="D14" s="54"/>
      <c r="E14" s="54"/>
      <c r="F14" s="54"/>
      <c r="G14" s="54"/>
      <c r="H14" s="54"/>
      <c r="I14" s="54"/>
      <c r="J14" s="54"/>
      <c r="K14" s="54"/>
      <c r="L14" s="54"/>
      <c r="M14" s="54"/>
      <c r="N14" s="54"/>
    </row>
    <row r="15" spans="1:15" ht="32" customHeight="1" x14ac:dyDescent="0.2">
      <c r="A15" s="5" t="s">
        <v>90</v>
      </c>
      <c r="B15" s="5" t="s">
        <v>113</v>
      </c>
      <c r="C15" s="5" t="s">
        <v>114</v>
      </c>
      <c r="D15" s="25" t="s">
        <v>115</v>
      </c>
      <c r="E15" s="25" t="s">
        <v>116</v>
      </c>
      <c r="F15" s="5" t="s">
        <v>117</v>
      </c>
      <c r="G15" s="5" t="s">
        <v>118</v>
      </c>
      <c r="H15" s="5" t="s">
        <v>119</v>
      </c>
      <c r="I15" s="5" t="s">
        <v>120</v>
      </c>
      <c r="J15" s="5" t="s">
        <v>121</v>
      </c>
      <c r="K15" s="5" t="s">
        <v>122</v>
      </c>
    </row>
    <row r="16" spans="1:15" ht="16" customHeight="1" x14ac:dyDescent="0.2">
      <c r="A16" s="6" t="s">
        <v>104</v>
      </c>
      <c r="B16" s="10">
        <v>1899</v>
      </c>
      <c r="C16" s="10">
        <v>1699</v>
      </c>
      <c r="D16" s="26">
        <v>1499</v>
      </c>
      <c r="E16" s="26">
        <v>1699</v>
      </c>
      <c r="F16" s="11">
        <v>0.55000000000000004</v>
      </c>
      <c r="G16" s="11">
        <v>0.25</v>
      </c>
      <c r="H16" s="11">
        <v>0.15</v>
      </c>
      <c r="I16" s="11">
        <v>0.05</v>
      </c>
      <c r="J16">
        <v>0.05</v>
      </c>
      <c r="K16">
        <v>0.74</v>
      </c>
    </row>
    <row r="17" spans="1:15" ht="16" customHeight="1" x14ac:dyDescent="0.2">
      <c r="A17" s="6" t="s">
        <v>105</v>
      </c>
      <c r="B17" s="10">
        <v>899</v>
      </c>
      <c r="C17" s="10">
        <v>799</v>
      </c>
      <c r="D17" s="26">
        <v>699</v>
      </c>
      <c r="E17" s="26">
        <v>809</v>
      </c>
      <c r="F17" s="11">
        <v>0.5</v>
      </c>
      <c r="G17" s="11">
        <v>0.35</v>
      </c>
      <c r="H17" s="11">
        <v>0.1</v>
      </c>
      <c r="I17" s="11">
        <v>0.05</v>
      </c>
      <c r="J17">
        <v>0.08</v>
      </c>
      <c r="K17">
        <v>0.7</v>
      </c>
    </row>
    <row r="18" spans="1:15" ht="16" customHeight="1" x14ac:dyDescent="0.2">
      <c r="A18" s="6" t="s">
        <v>106</v>
      </c>
      <c r="B18" s="10">
        <v>499</v>
      </c>
      <c r="C18" s="10">
        <v>449</v>
      </c>
      <c r="D18" s="26">
        <v>379</v>
      </c>
      <c r="E18" s="26">
        <v>449</v>
      </c>
      <c r="F18" s="11">
        <v>0.35</v>
      </c>
      <c r="G18" s="11">
        <v>0.4</v>
      </c>
      <c r="H18" s="11">
        <v>0.2</v>
      </c>
      <c r="I18" s="11">
        <v>0.05</v>
      </c>
      <c r="J18">
        <v>0.12</v>
      </c>
      <c r="K18">
        <v>0.64</v>
      </c>
    </row>
    <row r="19" spans="1:15" ht="16" customHeight="1" x14ac:dyDescent="0.2">
      <c r="A19" s="6" t="s">
        <v>107</v>
      </c>
      <c r="B19" s="10">
        <v>499</v>
      </c>
      <c r="C19" s="10">
        <v>449</v>
      </c>
      <c r="D19" s="26">
        <v>379</v>
      </c>
      <c r="E19" s="26">
        <v>449</v>
      </c>
      <c r="F19" s="11">
        <v>0.6</v>
      </c>
      <c r="G19" s="11">
        <v>0.3</v>
      </c>
      <c r="H19" s="11">
        <v>0.05</v>
      </c>
      <c r="I19" s="11">
        <v>0.05</v>
      </c>
      <c r="J19">
        <v>0.09</v>
      </c>
      <c r="K19">
        <v>0.66</v>
      </c>
    </row>
    <row r="20" spans="1:15" ht="16" customHeight="1" x14ac:dyDescent="0.2">
      <c r="A20" s="6" t="s">
        <v>108</v>
      </c>
      <c r="B20" s="10">
        <v>399</v>
      </c>
      <c r="C20" s="10">
        <v>359</v>
      </c>
      <c r="D20" s="26">
        <v>299</v>
      </c>
      <c r="E20" s="26">
        <v>359</v>
      </c>
      <c r="F20" s="11">
        <v>0.55000000000000004</v>
      </c>
      <c r="G20" s="11">
        <v>0.35</v>
      </c>
      <c r="H20" s="11">
        <v>0.05</v>
      </c>
      <c r="I20" s="11">
        <v>0.05</v>
      </c>
      <c r="J20">
        <v>0.14000000000000001</v>
      </c>
      <c r="K20">
        <v>0.62</v>
      </c>
    </row>
    <row r="21" spans="1:15" ht="16" customHeight="1" x14ac:dyDescent="0.2">
      <c r="A21" s="6" t="s">
        <v>109</v>
      </c>
      <c r="B21" s="10">
        <v>55</v>
      </c>
      <c r="C21" s="10">
        <v>49</v>
      </c>
      <c r="D21" s="27" t="s">
        <v>123</v>
      </c>
      <c r="E21" s="26">
        <v>49</v>
      </c>
      <c r="F21" s="11">
        <v>0.65</v>
      </c>
      <c r="G21" s="11">
        <v>0.3</v>
      </c>
      <c r="H21" s="11">
        <v>0</v>
      </c>
      <c r="I21" s="11">
        <v>0.05</v>
      </c>
      <c r="J21">
        <v>0.02</v>
      </c>
      <c r="K21">
        <v>0.82</v>
      </c>
    </row>
    <row r="22" spans="1:15" x14ac:dyDescent="0.2">
      <c r="A22" s="28" t="s">
        <v>124</v>
      </c>
    </row>
    <row r="23" spans="1:15" x14ac:dyDescent="0.2">
      <c r="A23" s="66" t="s">
        <v>125</v>
      </c>
      <c r="B23" s="54"/>
      <c r="C23" s="54"/>
      <c r="D23" s="54"/>
      <c r="E23" s="54"/>
      <c r="F23" s="54"/>
      <c r="G23" s="54"/>
      <c r="H23" s="54"/>
      <c r="I23" s="54"/>
      <c r="J23" s="54"/>
      <c r="K23" s="54"/>
      <c r="L23" s="54"/>
      <c r="M23" s="54"/>
      <c r="N23" s="54"/>
    </row>
    <row r="24" spans="1:15" ht="16" customHeight="1" x14ac:dyDescent="0.2">
      <c r="A24" s="5" t="s">
        <v>126</v>
      </c>
      <c r="B24" s="5" t="s">
        <v>91</v>
      </c>
      <c r="C24" s="5" t="s">
        <v>92</v>
      </c>
      <c r="D24" s="5" t="s">
        <v>93</v>
      </c>
      <c r="E24" s="5" t="s">
        <v>94</v>
      </c>
      <c r="F24" s="5" t="s">
        <v>95</v>
      </c>
      <c r="G24" s="5" t="s">
        <v>96</v>
      </c>
      <c r="H24" s="5" t="s">
        <v>97</v>
      </c>
      <c r="I24" s="5" t="s">
        <v>98</v>
      </c>
      <c r="J24" s="5" t="s">
        <v>99</v>
      </c>
      <c r="K24" s="5" t="s">
        <v>100</v>
      </c>
      <c r="L24" s="5" t="s">
        <v>101</v>
      </c>
      <c r="M24" s="5" t="s">
        <v>102</v>
      </c>
    </row>
    <row r="25" spans="1:15" ht="16" customHeight="1" x14ac:dyDescent="0.2">
      <c r="A25" s="6" t="s">
        <v>127</v>
      </c>
      <c r="B25" s="12">
        <v>14050</v>
      </c>
      <c r="C25" s="12">
        <v>13500</v>
      </c>
      <c r="D25" s="12">
        <v>16200</v>
      </c>
      <c r="E25" s="12">
        <v>17800</v>
      </c>
      <c r="F25" s="12">
        <v>18600</v>
      </c>
      <c r="G25" s="12">
        <v>20050</v>
      </c>
      <c r="H25" s="12">
        <v>20670</v>
      </c>
      <c r="I25" s="12">
        <v>20050</v>
      </c>
      <c r="J25" s="12">
        <v>22800</v>
      </c>
      <c r="K25" s="12">
        <v>26250</v>
      </c>
      <c r="L25" s="12">
        <v>39200</v>
      </c>
      <c r="M25" s="12">
        <v>34500</v>
      </c>
    </row>
    <row r="26" spans="1:15" ht="32" customHeight="1" x14ac:dyDescent="0.2">
      <c r="A26" s="6" t="s">
        <v>128</v>
      </c>
      <c r="B26" s="13">
        <f t="shared" ref="B26:M26" si="0">B25/$N$11</f>
        <v>5.328630485076042E-2</v>
      </c>
      <c r="C26" s="13">
        <f t="shared" si="0"/>
        <v>5.1200364091477983E-2</v>
      </c>
      <c r="D26" s="13">
        <f t="shared" si="0"/>
        <v>6.1440436909773584E-2</v>
      </c>
      <c r="E26" s="13">
        <f t="shared" si="0"/>
        <v>6.7508628209504304E-2</v>
      </c>
      <c r="F26" s="13">
        <f t="shared" si="0"/>
        <v>7.054272385936966E-2</v>
      </c>
      <c r="G26" s="13">
        <f t="shared" si="0"/>
        <v>7.6042022224750636E-2</v>
      </c>
      <c r="H26" s="13">
        <f t="shared" si="0"/>
        <v>7.839344635339629E-2</v>
      </c>
      <c r="I26" s="13">
        <f t="shared" si="0"/>
        <v>7.6042022224750636E-2</v>
      </c>
      <c r="J26" s="13">
        <f t="shared" si="0"/>
        <v>8.647172602116282E-2</v>
      </c>
      <c r="K26" s="13">
        <f t="shared" si="0"/>
        <v>9.9556263511207194E-2</v>
      </c>
      <c r="L26" s="13">
        <f t="shared" si="0"/>
        <v>0.14867068684340273</v>
      </c>
      <c r="M26" s="13">
        <f t="shared" si="0"/>
        <v>0.13084537490044373</v>
      </c>
    </row>
    <row r="27" spans="1:15" ht="16" customHeight="1" x14ac:dyDescent="0.2">
      <c r="A27" s="6" t="s">
        <v>129</v>
      </c>
      <c r="B27" s="61" t="s">
        <v>130</v>
      </c>
      <c r="C27" s="62"/>
      <c r="D27" s="62"/>
      <c r="E27" s="62"/>
      <c r="F27" s="62"/>
      <c r="G27" s="62"/>
      <c r="H27" s="62"/>
      <c r="I27" s="62"/>
      <c r="J27" s="62"/>
      <c r="K27" s="62"/>
      <c r="L27" s="62"/>
      <c r="M27" s="63"/>
    </row>
    <row r="29" spans="1:15" x14ac:dyDescent="0.2">
      <c r="A29" s="66" t="s">
        <v>131</v>
      </c>
      <c r="B29" s="54"/>
      <c r="C29" s="54"/>
      <c r="D29" s="54"/>
      <c r="E29" s="54"/>
      <c r="F29" s="54"/>
      <c r="G29" s="54"/>
      <c r="H29" s="54"/>
      <c r="I29" s="54"/>
      <c r="J29" s="54"/>
      <c r="K29" s="54"/>
      <c r="L29" s="54"/>
      <c r="M29" s="54"/>
      <c r="N29" s="54"/>
    </row>
    <row r="30" spans="1:15" x14ac:dyDescent="0.2">
      <c r="A30" s="64" t="s">
        <v>132</v>
      </c>
      <c r="B30" s="62"/>
      <c r="C30" s="62"/>
      <c r="D30" s="62"/>
      <c r="E30" s="62"/>
      <c r="F30" s="62"/>
      <c r="G30" s="62"/>
      <c r="H30" s="62"/>
      <c r="I30" s="62"/>
      <c r="J30" s="62"/>
      <c r="K30" s="62"/>
      <c r="L30" s="62"/>
      <c r="M30" s="62"/>
      <c r="N30" s="63"/>
    </row>
    <row r="31" spans="1:15" ht="16" customHeight="1" x14ac:dyDescent="0.2">
      <c r="A31" s="5" t="s">
        <v>90</v>
      </c>
      <c r="B31" s="5" t="s">
        <v>91</v>
      </c>
      <c r="C31" s="5" t="s">
        <v>92</v>
      </c>
      <c r="D31" s="5" t="s">
        <v>93</v>
      </c>
      <c r="E31" s="5" t="s">
        <v>94</v>
      </c>
      <c r="F31" s="5" t="s">
        <v>95</v>
      </c>
      <c r="G31" s="5" t="s">
        <v>96</v>
      </c>
      <c r="H31" s="5" t="s">
        <v>97</v>
      </c>
      <c r="I31" s="5" t="s">
        <v>98</v>
      </c>
      <c r="J31" s="5" t="s">
        <v>99</v>
      </c>
      <c r="K31" s="5" t="s">
        <v>100</v>
      </c>
      <c r="L31" s="5" t="s">
        <v>101</v>
      </c>
      <c r="M31" s="5" t="s">
        <v>102</v>
      </c>
      <c r="N31" s="5" t="s">
        <v>133</v>
      </c>
    </row>
    <row r="32" spans="1:15" ht="16" customHeight="1" x14ac:dyDescent="0.2">
      <c r="A32" s="6" t="s">
        <v>104</v>
      </c>
      <c r="B32" s="12">
        <f t="shared" ref="B32:N32" si="1">B5*1.8</f>
        <v>2160</v>
      </c>
      <c r="C32" s="12">
        <f t="shared" si="1"/>
        <v>2070</v>
      </c>
      <c r="D32" s="12">
        <f t="shared" si="1"/>
        <v>2520</v>
      </c>
      <c r="E32" s="12">
        <f t="shared" si="1"/>
        <v>2790</v>
      </c>
      <c r="F32" s="12">
        <f t="shared" si="1"/>
        <v>2880</v>
      </c>
      <c r="G32" s="12">
        <f t="shared" si="1"/>
        <v>3060</v>
      </c>
      <c r="H32" s="12">
        <f t="shared" si="1"/>
        <v>3150</v>
      </c>
      <c r="I32" s="12">
        <f t="shared" si="1"/>
        <v>3060</v>
      </c>
      <c r="J32" s="12">
        <f t="shared" si="1"/>
        <v>3420</v>
      </c>
      <c r="K32" s="12">
        <f t="shared" si="1"/>
        <v>3870</v>
      </c>
      <c r="L32" s="12">
        <f t="shared" si="1"/>
        <v>5580</v>
      </c>
      <c r="M32" s="12">
        <f t="shared" si="1"/>
        <v>5040</v>
      </c>
      <c r="N32" s="12">
        <f t="shared" si="1"/>
        <v>39600</v>
      </c>
      <c r="O32" s="22">
        <f>N32*B16*F16+N32*C16*G16+N32*D16*H16+N32*E16*I16</f>
        <v>70448400</v>
      </c>
    </row>
    <row r="33" spans="1:19" ht="16" customHeight="1" x14ac:dyDescent="0.2">
      <c r="A33" s="6" t="s">
        <v>105</v>
      </c>
      <c r="B33" s="12">
        <f t="shared" ref="B33:N33" si="2">B6*1.8</f>
        <v>2880</v>
      </c>
      <c r="C33" s="12">
        <f t="shared" si="2"/>
        <v>2790</v>
      </c>
      <c r="D33" s="12">
        <f t="shared" si="2"/>
        <v>3330</v>
      </c>
      <c r="E33" s="12">
        <f t="shared" si="2"/>
        <v>3600</v>
      </c>
      <c r="F33" s="12">
        <f t="shared" si="2"/>
        <v>3780</v>
      </c>
      <c r="G33" s="12">
        <f t="shared" si="2"/>
        <v>4050</v>
      </c>
      <c r="H33" s="12">
        <f t="shared" si="2"/>
        <v>4140</v>
      </c>
      <c r="I33" s="12">
        <f t="shared" si="2"/>
        <v>4050</v>
      </c>
      <c r="J33" s="12">
        <f t="shared" si="2"/>
        <v>4590</v>
      </c>
      <c r="K33" s="12">
        <f t="shared" si="2"/>
        <v>5220</v>
      </c>
      <c r="L33" s="12">
        <f t="shared" si="2"/>
        <v>7560</v>
      </c>
      <c r="M33" s="12">
        <f t="shared" si="2"/>
        <v>6660</v>
      </c>
      <c r="N33" s="12">
        <f t="shared" si="2"/>
        <v>52650</v>
      </c>
      <c r="O33" s="22">
        <f>N33*B17*F17+N33*C17*G17+N33*D17*H17+N33*E17*I17</f>
        <v>44199675</v>
      </c>
      <c r="P33" s="31">
        <f>SUM(K33:M33)*H17</f>
        <v>1944</v>
      </c>
    </row>
    <row r="34" spans="1:19" ht="16" customHeight="1" x14ac:dyDescent="0.2">
      <c r="A34" s="6" t="s">
        <v>106</v>
      </c>
      <c r="B34" s="12">
        <f t="shared" ref="B34:N34" si="3">B7*1.8</f>
        <v>2520</v>
      </c>
      <c r="C34" s="12">
        <f t="shared" si="3"/>
        <v>2430</v>
      </c>
      <c r="D34" s="12">
        <f t="shared" si="3"/>
        <v>2880</v>
      </c>
      <c r="E34" s="12">
        <f t="shared" si="3"/>
        <v>3150</v>
      </c>
      <c r="F34" s="12">
        <f t="shared" si="3"/>
        <v>3240</v>
      </c>
      <c r="G34" s="12">
        <f t="shared" si="3"/>
        <v>3510</v>
      </c>
      <c r="H34" s="12">
        <f t="shared" si="3"/>
        <v>3600</v>
      </c>
      <c r="I34" s="12">
        <f t="shared" si="3"/>
        <v>3510</v>
      </c>
      <c r="J34" s="12">
        <f t="shared" si="3"/>
        <v>3960</v>
      </c>
      <c r="K34" s="12">
        <f t="shared" si="3"/>
        <v>4590</v>
      </c>
      <c r="L34" s="12">
        <f t="shared" si="3"/>
        <v>6840</v>
      </c>
      <c r="M34" s="12">
        <f t="shared" si="3"/>
        <v>6120</v>
      </c>
      <c r="N34" s="12">
        <f t="shared" si="3"/>
        <v>46350</v>
      </c>
      <c r="O34" s="22">
        <f>N34*B18*F18+N34*C18*G18+N34*D18*H18+N34*E18*I18</f>
        <v>20973375</v>
      </c>
    </row>
    <row r="35" spans="1:19" ht="16" customHeight="1" x14ac:dyDescent="0.2">
      <c r="A35" s="6" t="s">
        <v>107</v>
      </c>
      <c r="B35" s="12">
        <f t="shared" ref="B35:N35" si="4">B8*1.8</f>
        <v>1530</v>
      </c>
      <c r="C35" s="12">
        <f t="shared" si="4"/>
        <v>1440</v>
      </c>
      <c r="D35" s="12">
        <f t="shared" si="4"/>
        <v>1800</v>
      </c>
      <c r="E35" s="12">
        <f t="shared" si="4"/>
        <v>1980</v>
      </c>
      <c r="F35" s="12">
        <f t="shared" si="4"/>
        <v>2070</v>
      </c>
      <c r="G35" s="12">
        <f t="shared" si="4"/>
        <v>2250</v>
      </c>
      <c r="H35" s="12">
        <f t="shared" si="4"/>
        <v>2340</v>
      </c>
      <c r="I35" s="12">
        <f t="shared" si="4"/>
        <v>2250</v>
      </c>
      <c r="J35" s="12">
        <f t="shared" si="4"/>
        <v>2610</v>
      </c>
      <c r="K35" s="12">
        <f t="shared" si="4"/>
        <v>3060</v>
      </c>
      <c r="L35" s="12">
        <f t="shared" si="4"/>
        <v>4680</v>
      </c>
      <c r="M35" s="12">
        <f t="shared" si="4"/>
        <v>4140</v>
      </c>
      <c r="N35" s="12">
        <f t="shared" si="4"/>
        <v>30150</v>
      </c>
      <c r="O35" s="22">
        <f>N35*B19*F19+N35*C19*G19+N35*D19*H19+N35*E19*I19</f>
        <v>14336325</v>
      </c>
    </row>
    <row r="36" spans="1:19" ht="16" customHeight="1" x14ac:dyDescent="0.2">
      <c r="A36" s="6" t="s">
        <v>108</v>
      </c>
      <c r="B36" s="12">
        <f t="shared" ref="B36:N36" si="5">B9*1.8</f>
        <v>900</v>
      </c>
      <c r="C36" s="12">
        <f t="shared" si="5"/>
        <v>810</v>
      </c>
      <c r="D36" s="12">
        <f t="shared" si="5"/>
        <v>990</v>
      </c>
      <c r="E36" s="12">
        <f t="shared" si="5"/>
        <v>1080</v>
      </c>
      <c r="F36" s="12">
        <f t="shared" si="5"/>
        <v>1170</v>
      </c>
      <c r="G36" s="12">
        <f t="shared" si="5"/>
        <v>1260</v>
      </c>
      <c r="H36" s="12">
        <f t="shared" si="5"/>
        <v>1296</v>
      </c>
      <c r="I36" s="12">
        <f t="shared" si="5"/>
        <v>1260</v>
      </c>
      <c r="J36" s="12">
        <f t="shared" si="5"/>
        <v>1440</v>
      </c>
      <c r="K36" s="12">
        <f t="shared" si="5"/>
        <v>1710</v>
      </c>
      <c r="L36" s="12">
        <f t="shared" si="5"/>
        <v>2700</v>
      </c>
      <c r="M36" s="12">
        <f t="shared" si="5"/>
        <v>2340</v>
      </c>
      <c r="N36" s="12">
        <f t="shared" si="5"/>
        <v>16956</v>
      </c>
      <c r="O36" s="22">
        <f>N36*B20*F20+N36*C20*G20+N36*D20*H20+N36*E20*I20</f>
        <v>6409368</v>
      </c>
    </row>
    <row r="37" spans="1:19" ht="16" customHeight="1" x14ac:dyDescent="0.2">
      <c r="A37" s="6" t="s">
        <v>109</v>
      </c>
      <c r="B37" s="12">
        <f t="shared" ref="B37:N37" si="6">B10*1.8</f>
        <v>15300</v>
      </c>
      <c r="C37" s="12">
        <f t="shared" si="6"/>
        <v>14760</v>
      </c>
      <c r="D37" s="12">
        <f t="shared" si="6"/>
        <v>17640</v>
      </c>
      <c r="E37" s="12">
        <f t="shared" si="6"/>
        <v>19440</v>
      </c>
      <c r="F37" s="12">
        <f t="shared" si="6"/>
        <v>20340</v>
      </c>
      <c r="G37" s="12">
        <f t="shared" si="6"/>
        <v>21960</v>
      </c>
      <c r="H37" s="12">
        <f t="shared" si="6"/>
        <v>22680</v>
      </c>
      <c r="I37" s="12">
        <f t="shared" si="6"/>
        <v>21960</v>
      </c>
      <c r="J37" s="12">
        <f t="shared" si="6"/>
        <v>25020</v>
      </c>
      <c r="K37" s="12">
        <f t="shared" si="6"/>
        <v>28800</v>
      </c>
      <c r="L37" s="12">
        <f t="shared" si="6"/>
        <v>43200</v>
      </c>
      <c r="M37" s="12">
        <f t="shared" si="6"/>
        <v>37800</v>
      </c>
      <c r="N37" s="12">
        <f t="shared" si="6"/>
        <v>288900</v>
      </c>
      <c r="O37" s="22">
        <f>N37*B21*F21+N37*C21*G21+N37*E21*I21</f>
        <v>15282810</v>
      </c>
    </row>
    <row r="38" spans="1:19" ht="16" customHeight="1" x14ac:dyDescent="0.2">
      <c r="A38" s="6" t="s">
        <v>110</v>
      </c>
      <c r="B38" s="15">
        <f t="shared" ref="B38:O38" si="7">SUM(B32:B37)</f>
        <v>25290</v>
      </c>
      <c r="C38" s="15">
        <f t="shared" si="7"/>
        <v>24300</v>
      </c>
      <c r="D38" s="15">
        <f t="shared" si="7"/>
        <v>29160</v>
      </c>
      <c r="E38" s="15">
        <f t="shared" si="7"/>
        <v>32040</v>
      </c>
      <c r="F38" s="15">
        <f t="shared" si="7"/>
        <v>33480</v>
      </c>
      <c r="G38" s="15">
        <f t="shared" si="7"/>
        <v>36090</v>
      </c>
      <c r="H38" s="15">
        <f t="shared" si="7"/>
        <v>37206</v>
      </c>
      <c r="I38" s="15">
        <f t="shared" si="7"/>
        <v>36090</v>
      </c>
      <c r="J38" s="15">
        <f t="shared" si="7"/>
        <v>41040</v>
      </c>
      <c r="K38" s="15">
        <f t="shared" si="7"/>
        <v>47250</v>
      </c>
      <c r="L38" s="15">
        <f t="shared" si="7"/>
        <v>70560</v>
      </c>
      <c r="M38" s="15">
        <f t="shared" si="7"/>
        <v>62100</v>
      </c>
      <c r="N38" s="15">
        <f t="shared" si="7"/>
        <v>474606</v>
      </c>
      <c r="O38" s="23">
        <f t="shared" si="7"/>
        <v>171649953</v>
      </c>
    </row>
    <row r="39" spans="1:19" ht="16" customHeight="1" x14ac:dyDescent="0.2">
      <c r="A39" s="6" t="s">
        <v>134</v>
      </c>
      <c r="B39" s="16">
        <f>O38</f>
        <v>171649953</v>
      </c>
      <c r="C39" s="64" t="s">
        <v>135</v>
      </c>
      <c r="D39" s="62"/>
      <c r="E39" s="62"/>
      <c r="F39" s="62"/>
      <c r="G39" s="62"/>
      <c r="H39" s="62"/>
      <c r="I39" s="62"/>
      <c r="J39" s="62"/>
      <c r="K39" s="62"/>
      <c r="L39" s="62"/>
      <c r="M39" s="62"/>
      <c r="N39" s="63"/>
    </row>
    <row r="40" spans="1:19" ht="16" customHeight="1" x14ac:dyDescent="0.2">
      <c r="A40" s="29" t="s">
        <v>136</v>
      </c>
      <c r="B40">
        <f t="shared" ref="B40:N40" si="8">(B32*$F16+B33*$F17+B34*$F18+B35*$F19+B36*$F20+B37*$F21)/20</f>
        <v>743.4</v>
      </c>
      <c r="C40">
        <f t="shared" si="8"/>
        <v>714.375</v>
      </c>
      <c r="D40">
        <f t="shared" si="8"/>
        <v>857.47500000000002</v>
      </c>
      <c r="E40">
        <f t="shared" si="8"/>
        <v>942.75</v>
      </c>
      <c r="F40">
        <f t="shared" si="8"/>
        <v>985.72500000000002</v>
      </c>
      <c r="G40">
        <f t="shared" si="8"/>
        <v>1062.675</v>
      </c>
      <c r="H40">
        <f t="shared" si="8"/>
        <v>1096.0650000000001</v>
      </c>
      <c r="I40">
        <f t="shared" si="8"/>
        <v>1062.675</v>
      </c>
      <c r="J40">
        <f t="shared" si="8"/>
        <v>1209.1500000000001</v>
      </c>
      <c r="K40">
        <f t="shared" si="8"/>
        <v>1392.075</v>
      </c>
      <c r="L40">
        <f t="shared" si="8"/>
        <v>2080.8000000000002</v>
      </c>
      <c r="M40">
        <f t="shared" si="8"/>
        <v>1829.25</v>
      </c>
      <c r="N40">
        <f t="shared" si="8"/>
        <v>13976.414999999999</v>
      </c>
    </row>
    <row r="41" spans="1:19" x14ac:dyDescent="0.2">
      <c r="A41" s="66" t="s">
        <v>137</v>
      </c>
      <c r="B41" s="54"/>
      <c r="C41" s="54"/>
      <c r="D41" s="54"/>
      <c r="E41" s="54"/>
      <c r="F41" s="54"/>
      <c r="G41" s="54"/>
      <c r="H41" s="54"/>
      <c r="I41" s="54"/>
      <c r="J41" s="54"/>
      <c r="K41" s="54"/>
      <c r="L41" s="54"/>
      <c r="M41" s="54"/>
      <c r="N41" s="54"/>
    </row>
    <row r="42" spans="1:19" x14ac:dyDescent="0.2">
      <c r="A42" s="65" t="s">
        <v>138</v>
      </c>
      <c r="B42" s="62"/>
      <c r="C42" s="62"/>
      <c r="D42" s="62"/>
      <c r="E42" s="62"/>
      <c r="F42" s="62"/>
      <c r="G42" s="62"/>
      <c r="H42" s="62"/>
      <c r="I42" s="62"/>
      <c r="J42" s="62"/>
      <c r="K42" s="62"/>
      <c r="L42" s="62"/>
      <c r="M42" s="62"/>
      <c r="N42" s="63"/>
    </row>
    <row r="43" spans="1:19" ht="50" customHeight="1" x14ac:dyDescent="0.2">
      <c r="A43" s="61" t="s">
        <v>139</v>
      </c>
      <c r="B43" s="62"/>
      <c r="C43" s="62"/>
      <c r="D43" s="62"/>
      <c r="E43" s="62"/>
      <c r="F43" s="62"/>
      <c r="G43" s="62"/>
      <c r="H43" s="62"/>
      <c r="I43" s="62"/>
      <c r="J43" s="62"/>
      <c r="K43" s="62"/>
      <c r="L43" s="62"/>
      <c r="M43" s="62"/>
      <c r="N43" s="63"/>
    </row>
    <row r="44" spans="1:19" x14ac:dyDescent="0.2">
      <c r="A44" s="65" t="s">
        <v>140</v>
      </c>
      <c r="B44" s="62"/>
      <c r="C44" s="62"/>
      <c r="D44" s="62"/>
      <c r="E44" s="62"/>
      <c r="F44" s="62"/>
      <c r="G44" s="62"/>
      <c r="H44" s="62"/>
      <c r="I44" s="62"/>
      <c r="J44" s="62"/>
      <c r="K44" s="62"/>
      <c r="L44" s="62"/>
      <c r="M44" s="62"/>
      <c r="N44" s="63"/>
    </row>
    <row r="45" spans="1:19" ht="232" customHeight="1" x14ac:dyDescent="0.2">
      <c r="A45" s="61" t="s">
        <v>141</v>
      </c>
      <c r="B45" s="62"/>
      <c r="C45" s="62"/>
      <c r="D45" s="62"/>
      <c r="E45" s="62"/>
      <c r="F45" s="62"/>
      <c r="G45" s="62"/>
      <c r="H45" s="62"/>
      <c r="I45" s="62"/>
      <c r="J45" s="62"/>
      <c r="K45" s="62"/>
      <c r="L45" s="62"/>
      <c r="M45" s="62"/>
      <c r="N45" s="63"/>
    </row>
    <row r="46" spans="1:19" ht="21" customHeight="1" x14ac:dyDescent="0.2">
      <c r="A46" s="65" t="s">
        <v>142</v>
      </c>
      <c r="B46" s="62"/>
      <c r="C46" s="62"/>
      <c r="D46" s="62"/>
      <c r="E46" s="62"/>
      <c r="F46" s="62"/>
      <c r="G46" s="62"/>
      <c r="H46" s="62"/>
      <c r="I46" s="62"/>
      <c r="J46" s="62"/>
      <c r="K46" s="62"/>
      <c r="L46" s="62"/>
      <c r="M46" s="62"/>
      <c r="N46" s="63"/>
    </row>
    <row r="47" spans="1:19" x14ac:dyDescent="0.2">
      <c r="A47" s="64" t="s">
        <v>143</v>
      </c>
      <c r="B47" s="62"/>
      <c r="C47" s="62"/>
      <c r="D47" s="62"/>
      <c r="E47" s="62"/>
      <c r="F47" s="62"/>
      <c r="G47" s="62"/>
      <c r="H47" s="62"/>
      <c r="I47" s="62"/>
      <c r="J47" s="62"/>
      <c r="K47" s="62"/>
      <c r="L47" s="62"/>
      <c r="M47" s="62"/>
      <c r="N47" s="63"/>
      <c r="S47" s="30"/>
    </row>
    <row r="48" spans="1:19" ht="99" customHeight="1" x14ac:dyDescent="0.2">
      <c r="A48" s="61" t="s">
        <v>144</v>
      </c>
      <c r="B48" s="62"/>
      <c r="C48" s="62"/>
      <c r="D48" s="62"/>
      <c r="E48" s="62"/>
      <c r="F48" s="62"/>
      <c r="G48" s="62"/>
      <c r="H48" s="62"/>
      <c r="I48" s="62"/>
      <c r="J48" s="62"/>
      <c r="K48" s="62"/>
      <c r="L48" s="62"/>
      <c r="M48" s="62"/>
      <c r="N48" s="63"/>
    </row>
    <row r="49" spans="1:14" x14ac:dyDescent="0.2">
      <c r="A49" s="65" t="s">
        <v>145</v>
      </c>
      <c r="B49" s="62"/>
      <c r="C49" s="62"/>
      <c r="D49" s="62"/>
      <c r="E49" s="62"/>
      <c r="F49" s="62"/>
      <c r="G49" s="62"/>
      <c r="H49" s="62"/>
      <c r="I49" s="62"/>
      <c r="J49" s="62"/>
      <c r="K49" s="62"/>
      <c r="L49" s="62"/>
      <c r="M49" s="62"/>
      <c r="N49" s="63"/>
    </row>
    <row r="50" spans="1:14" ht="50" customHeight="1" x14ac:dyDescent="0.2">
      <c r="A50" s="61" t="s">
        <v>146</v>
      </c>
      <c r="B50" s="62"/>
      <c r="C50" s="62"/>
      <c r="D50" s="62"/>
      <c r="E50" s="62"/>
      <c r="F50" s="62"/>
      <c r="G50" s="62"/>
      <c r="H50" s="62"/>
      <c r="I50" s="62"/>
      <c r="J50" s="62"/>
      <c r="K50" s="62"/>
      <c r="L50" s="62"/>
      <c r="M50" s="62"/>
      <c r="N50" s="63"/>
    </row>
    <row r="51" spans="1:14" x14ac:dyDescent="0.2">
      <c r="A51" s="65" t="s">
        <v>147</v>
      </c>
      <c r="B51" s="62"/>
      <c r="C51" s="62"/>
      <c r="D51" s="62"/>
      <c r="E51" s="62"/>
      <c r="F51" s="62"/>
      <c r="G51" s="62"/>
      <c r="H51" s="62"/>
      <c r="I51" s="62"/>
      <c r="J51" s="62"/>
      <c r="K51" s="62"/>
      <c r="L51" s="62"/>
      <c r="M51" s="62"/>
      <c r="N51" s="63"/>
    </row>
    <row r="52" spans="1:14" ht="64" customHeight="1" x14ac:dyDescent="0.2">
      <c r="A52" s="61" t="s">
        <v>148</v>
      </c>
      <c r="B52" s="62"/>
      <c r="C52" s="62"/>
      <c r="D52" s="62"/>
      <c r="E52" s="62"/>
      <c r="F52" s="62"/>
      <c r="G52" s="62"/>
      <c r="H52" s="62"/>
      <c r="I52" s="62"/>
      <c r="J52" s="62"/>
      <c r="K52" s="62"/>
      <c r="L52" s="62"/>
      <c r="M52" s="62"/>
      <c r="N52" s="63"/>
    </row>
  </sheetData>
  <mergeCells count="20">
    <mergeCell ref="A52:N52"/>
    <mergeCell ref="A43:N43"/>
    <mergeCell ref="B27:M27"/>
    <mergeCell ref="A44:N44"/>
    <mergeCell ref="A3:N3"/>
    <mergeCell ref="A12:N12"/>
    <mergeCell ref="A50:N50"/>
    <mergeCell ref="A47:N47"/>
    <mergeCell ref="A42:N42"/>
    <mergeCell ref="A23:N23"/>
    <mergeCell ref="A14:N14"/>
    <mergeCell ref="A29:N29"/>
    <mergeCell ref="A48:N48"/>
    <mergeCell ref="A30:N30"/>
    <mergeCell ref="A49:N49"/>
    <mergeCell ref="A51:N51"/>
    <mergeCell ref="A45:N45"/>
    <mergeCell ref="C39:N39"/>
    <mergeCell ref="A41:N41"/>
    <mergeCell ref="A46:N46"/>
  </mergeCells>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392B"/>
  </sheetPr>
  <dimension ref="A1:F60"/>
  <sheetViews>
    <sheetView topLeftCell="A56" zoomScale="260" zoomScaleNormal="260" workbookViewId="0">
      <selection activeCell="A61" sqref="A61"/>
    </sheetView>
  </sheetViews>
  <sheetFormatPr baseColWidth="10" defaultColWidth="8.83203125" defaultRowHeight="15" x14ac:dyDescent="0.2"/>
  <cols>
    <col min="1" max="1" width="55" customWidth="1"/>
    <col min="2" max="2" width="18" customWidth="1"/>
    <col min="3" max="3" width="37.33203125" customWidth="1"/>
    <col min="4" max="4" width="18" customWidth="1"/>
    <col min="5" max="5" width="23.83203125" customWidth="1"/>
    <col min="6" max="6" width="38" customWidth="1"/>
    <col min="7" max="7" width="20" customWidth="1"/>
  </cols>
  <sheetData>
    <row r="1" spans="1:6" ht="30" customHeight="1" x14ac:dyDescent="0.2">
      <c r="A1" s="59" t="s">
        <v>0</v>
      </c>
      <c r="B1" s="54"/>
      <c r="C1" s="54"/>
      <c r="D1" s="54"/>
      <c r="E1" s="54"/>
      <c r="F1" s="54"/>
    </row>
    <row r="2" spans="1:6" ht="28" customHeight="1" x14ac:dyDescent="0.2">
      <c r="A2" s="55" t="s">
        <v>1</v>
      </c>
      <c r="B2" s="54"/>
      <c r="C2" s="54"/>
      <c r="D2" s="54"/>
      <c r="E2" s="54"/>
      <c r="F2" s="54"/>
    </row>
    <row r="3" spans="1:6" x14ac:dyDescent="0.2">
      <c r="A3" s="32"/>
      <c r="B3" s="32"/>
      <c r="C3" s="32"/>
      <c r="D3" s="32"/>
      <c r="E3" s="32"/>
    </row>
    <row r="4" spans="1:6" ht="16" customHeight="1" x14ac:dyDescent="0.2">
      <c r="A4" s="58" t="s">
        <v>2</v>
      </c>
      <c r="B4" s="54"/>
      <c r="C4" s="54"/>
      <c r="D4" s="54"/>
      <c r="E4" s="54"/>
      <c r="F4" s="54"/>
    </row>
    <row r="5" spans="1:6" ht="30" customHeight="1" x14ac:dyDescent="0.2">
      <c r="A5" s="33" t="s">
        <v>3</v>
      </c>
      <c r="B5" s="34" t="s">
        <v>4</v>
      </c>
      <c r="C5" s="35" t="s">
        <v>5</v>
      </c>
      <c r="D5" s="32"/>
      <c r="E5" s="32"/>
    </row>
    <row r="6" spans="1:6" ht="30" customHeight="1" x14ac:dyDescent="0.2">
      <c r="A6" s="36" t="s">
        <v>6</v>
      </c>
      <c r="B6" s="37">
        <v>8200</v>
      </c>
      <c r="C6" s="38" t="s">
        <v>7</v>
      </c>
      <c r="D6" s="32"/>
      <c r="E6" s="32"/>
    </row>
    <row r="7" spans="1:6" ht="45" customHeight="1" x14ac:dyDescent="0.2">
      <c r="A7" s="39" t="s">
        <v>8</v>
      </c>
      <c r="B7" s="40">
        <v>3000</v>
      </c>
      <c r="C7" s="41" t="s">
        <v>9</v>
      </c>
      <c r="D7" s="32"/>
      <c r="E7" s="32"/>
    </row>
    <row r="8" spans="1:6" ht="30" customHeight="1" x14ac:dyDescent="0.2">
      <c r="A8" s="36" t="s">
        <v>10</v>
      </c>
      <c r="B8" s="37">
        <f>B6+B7</f>
        <v>11200</v>
      </c>
      <c r="C8" s="38" t="s">
        <v>11</v>
      </c>
      <c r="D8" s="32"/>
      <c r="E8" s="32"/>
    </row>
    <row r="9" spans="1:6" ht="45" customHeight="1" x14ac:dyDescent="0.2">
      <c r="A9" s="39" t="s">
        <v>12</v>
      </c>
      <c r="B9" s="40">
        <v>5000</v>
      </c>
      <c r="C9" s="41" t="s">
        <v>13</v>
      </c>
      <c r="D9" s="32"/>
      <c r="E9" s="32"/>
    </row>
    <row r="10" spans="1:6" ht="16" customHeight="1" x14ac:dyDescent="0.2">
      <c r="A10" s="36" t="s">
        <v>14</v>
      </c>
      <c r="B10" s="37">
        <v>800</v>
      </c>
      <c r="C10" s="38" t="s">
        <v>15</v>
      </c>
      <c r="D10" s="32"/>
      <c r="E10" s="32"/>
    </row>
    <row r="11" spans="1:6" ht="30" customHeight="1" x14ac:dyDescent="0.2">
      <c r="A11" s="39" t="s">
        <v>16</v>
      </c>
      <c r="B11" s="40">
        <v>1400</v>
      </c>
      <c r="C11" s="41" t="s">
        <v>17</v>
      </c>
      <c r="D11" s="32"/>
      <c r="E11" s="32"/>
    </row>
    <row r="12" spans="1:6" ht="16" customHeight="1" x14ac:dyDescent="0.2">
      <c r="A12" s="36" t="s">
        <v>18</v>
      </c>
      <c r="B12" s="37">
        <v>5</v>
      </c>
      <c r="C12" s="38" t="s">
        <v>19</v>
      </c>
      <c r="D12" s="32"/>
      <c r="E12" s="32"/>
    </row>
    <row r="13" spans="1:6" ht="16" customHeight="1" x14ac:dyDescent="0.2">
      <c r="A13" s="39" t="s">
        <v>20</v>
      </c>
      <c r="B13" s="42" t="s">
        <v>21</v>
      </c>
      <c r="C13" s="41" t="s">
        <v>22</v>
      </c>
      <c r="D13" s="32"/>
      <c r="E13" s="32"/>
    </row>
    <row r="14" spans="1:6" ht="30" customHeight="1" x14ac:dyDescent="0.2">
      <c r="A14" s="36" t="s">
        <v>23</v>
      </c>
      <c r="B14" s="43">
        <v>12</v>
      </c>
      <c r="C14" s="38" t="s">
        <v>24</v>
      </c>
      <c r="D14" s="32"/>
      <c r="E14" s="32"/>
    </row>
    <row r="15" spans="1:6" ht="32" customHeight="1" x14ac:dyDescent="0.2">
      <c r="A15" s="39" t="s">
        <v>25</v>
      </c>
      <c r="B15" s="40">
        <v>450</v>
      </c>
      <c r="C15" s="41" t="s">
        <v>26</v>
      </c>
      <c r="D15" s="32"/>
      <c r="E15" s="32"/>
    </row>
    <row r="16" spans="1:6" x14ac:dyDescent="0.2">
      <c r="A16" s="36" t="s">
        <v>27</v>
      </c>
      <c r="B16" s="37">
        <v>280</v>
      </c>
      <c r="C16" s="38" t="s">
        <v>26</v>
      </c>
      <c r="D16" s="32"/>
      <c r="E16" s="32"/>
    </row>
    <row r="17" spans="1:6" x14ac:dyDescent="0.2">
      <c r="A17" s="39" t="s">
        <v>28</v>
      </c>
      <c r="B17" s="44">
        <v>0.11</v>
      </c>
      <c r="C17" s="41" t="s">
        <v>29</v>
      </c>
      <c r="D17" s="32"/>
      <c r="E17" s="32"/>
    </row>
    <row r="18" spans="1:6" ht="16" customHeight="1" x14ac:dyDescent="0.2">
      <c r="A18" s="36" t="s">
        <v>30</v>
      </c>
      <c r="B18" s="37">
        <v>1200</v>
      </c>
      <c r="C18" s="38" t="s">
        <v>31</v>
      </c>
      <c r="D18" s="32"/>
      <c r="E18" s="32"/>
    </row>
    <row r="19" spans="1:6" ht="16" customHeight="1" x14ac:dyDescent="0.2">
      <c r="A19" s="32"/>
      <c r="B19" s="32"/>
      <c r="C19" s="32"/>
      <c r="D19" s="32"/>
      <c r="E19" s="32"/>
    </row>
    <row r="20" spans="1:6" ht="32" customHeight="1" x14ac:dyDescent="0.2">
      <c r="A20" s="58" t="s">
        <v>32</v>
      </c>
      <c r="B20" s="54"/>
      <c r="C20" s="54"/>
      <c r="D20" s="54"/>
      <c r="E20" s="54"/>
      <c r="F20" s="54"/>
    </row>
    <row r="21" spans="1:6" ht="24" customHeight="1" x14ac:dyDescent="0.2">
      <c r="A21" s="55" t="s">
        <v>33</v>
      </c>
      <c r="B21" s="54"/>
      <c r="C21" s="54"/>
      <c r="D21" s="54"/>
      <c r="E21" s="54"/>
      <c r="F21" s="54"/>
    </row>
    <row r="22" spans="1:6" ht="32" customHeight="1" x14ac:dyDescent="0.2">
      <c r="A22" s="32"/>
      <c r="B22" s="32"/>
      <c r="C22" s="32"/>
      <c r="D22" s="32"/>
      <c r="E22" s="32"/>
    </row>
    <row r="23" spans="1:6" ht="48" customHeight="1" x14ac:dyDescent="0.2">
      <c r="A23" s="33" t="s">
        <v>3</v>
      </c>
      <c r="B23" s="34" t="s">
        <v>34</v>
      </c>
      <c r="C23" s="34" t="s">
        <v>35</v>
      </c>
      <c r="D23" s="34" t="s">
        <v>36</v>
      </c>
      <c r="E23" s="34" t="s">
        <v>37</v>
      </c>
    </row>
    <row r="24" spans="1:6" ht="16" customHeight="1" x14ac:dyDescent="0.2">
      <c r="A24" s="45" t="s">
        <v>38</v>
      </c>
      <c r="B24" s="46">
        <v>3</v>
      </c>
      <c r="C24" s="46">
        <v>5</v>
      </c>
      <c r="D24" s="46">
        <v>8</v>
      </c>
      <c r="E24" s="46">
        <v>10</v>
      </c>
    </row>
    <row r="25" spans="1:6" ht="16" customHeight="1" x14ac:dyDescent="0.2">
      <c r="A25" s="47" t="s">
        <v>39</v>
      </c>
      <c r="B25" s="48">
        <f>$B$18*B24</f>
        <v>3600</v>
      </c>
      <c r="C25" s="48">
        <f>$B$18*C24</f>
        <v>6000</v>
      </c>
      <c r="D25" s="48">
        <f>$B$18*D24</f>
        <v>9600</v>
      </c>
      <c r="E25" s="48">
        <f>$B$18*E24</f>
        <v>12000</v>
      </c>
    </row>
    <row r="26" spans="1:6" ht="16" customHeight="1" x14ac:dyDescent="0.2">
      <c r="A26" s="47" t="s">
        <v>40</v>
      </c>
      <c r="B26" s="49">
        <f>B25/14</f>
        <v>257.14285714285717</v>
      </c>
      <c r="C26" s="49">
        <f>C25/14</f>
        <v>428.57142857142856</v>
      </c>
      <c r="D26" s="49">
        <f>D25/14</f>
        <v>685.71428571428567</v>
      </c>
      <c r="E26" s="49">
        <f>E25/14</f>
        <v>857.14285714285711</v>
      </c>
    </row>
    <row r="27" spans="1:6" ht="16" customHeight="1" x14ac:dyDescent="0.2">
      <c r="A27" s="47" t="s">
        <v>41</v>
      </c>
      <c r="B27" s="49">
        <f>$B$15+$B$16+B26</f>
        <v>987.14285714285711</v>
      </c>
      <c r="C27" s="49">
        <f>$B$15+$B$16+C26</f>
        <v>1158.5714285714284</v>
      </c>
      <c r="D27" s="49">
        <f>$B$15+$B$16+D26</f>
        <v>1415.7142857142858</v>
      </c>
      <c r="E27" s="49">
        <f>$B$15+$B$16+E26</f>
        <v>1587.1428571428571</v>
      </c>
    </row>
    <row r="28" spans="1:6" ht="16" customHeight="1" x14ac:dyDescent="0.2">
      <c r="A28" s="47" t="s">
        <v>42</v>
      </c>
      <c r="B28" s="50">
        <f>B27-$B$10</f>
        <v>187.14285714285711</v>
      </c>
      <c r="C28" s="50">
        <f>C27-$B$10</f>
        <v>358.57142857142844</v>
      </c>
      <c r="D28" s="50">
        <f>D27-$B$10</f>
        <v>615.71428571428578</v>
      </c>
      <c r="E28" s="50">
        <f>E27-$B$10</f>
        <v>787.14285714285711</v>
      </c>
    </row>
    <row r="29" spans="1:6" ht="32" customHeight="1" x14ac:dyDescent="0.2">
      <c r="A29" s="47" t="s">
        <v>43</v>
      </c>
      <c r="B29" s="50">
        <f>B27-$B$11</f>
        <v>-412.85714285714289</v>
      </c>
      <c r="C29" s="50">
        <f>C27-$B$11</f>
        <v>-241.42857142857156</v>
      </c>
      <c r="D29" s="50">
        <f>D27-$B$11</f>
        <v>15.714285714285779</v>
      </c>
      <c r="E29" s="50">
        <f>E27-$B$11</f>
        <v>187.14285714285711</v>
      </c>
    </row>
    <row r="30" spans="1:6" x14ac:dyDescent="0.2">
      <c r="A30" s="53" t="s">
        <v>44</v>
      </c>
      <c r="B30" s="54"/>
      <c r="C30" s="54"/>
      <c r="D30" s="54"/>
      <c r="E30" s="54"/>
    </row>
    <row r="31" spans="1:6" x14ac:dyDescent="0.2">
      <c r="A31" s="47" t="s">
        <v>45</v>
      </c>
      <c r="B31" s="48">
        <f>($B$15+$B$16)*$B$17*30</f>
        <v>2409</v>
      </c>
      <c r="C31" s="48">
        <f>($B$15+$B$16)*$B$17*30</f>
        <v>2409</v>
      </c>
      <c r="D31" s="48">
        <f>($B$15+$B$16)*$B$17*30</f>
        <v>2409</v>
      </c>
      <c r="E31" s="48">
        <f>($B$15+$B$16)*$B$17*30</f>
        <v>2409</v>
      </c>
    </row>
    <row r="32" spans="1:6" ht="32" customHeight="1" x14ac:dyDescent="0.2">
      <c r="A32" s="47" t="s">
        <v>46</v>
      </c>
      <c r="B32" s="48">
        <f>B25+B31</f>
        <v>6009</v>
      </c>
      <c r="C32" s="48">
        <f>C25+C31</f>
        <v>8409</v>
      </c>
      <c r="D32" s="48">
        <f>D25+D31</f>
        <v>12009</v>
      </c>
      <c r="E32" s="48">
        <f>E25+E31</f>
        <v>14409</v>
      </c>
    </row>
    <row r="33" spans="1:6" ht="16" customHeight="1" x14ac:dyDescent="0.2">
      <c r="A33" s="47" t="s">
        <v>47</v>
      </c>
      <c r="B33" s="51">
        <f>$B$8-B32</f>
        <v>5191</v>
      </c>
      <c r="C33" s="51">
        <f>$B$8-C32</f>
        <v>2791</v>
      </c>
      <c r="D33" s="51">
        <f>$B$8-D32</f>
        <v>-809</v>
      </c>
      <c r="E33" s="51">
        <f>$B$8-E32</f>
        <v>-3209</v>
      </c>
    </row>
    <row r="34" spans="1:6" ht="16" customHeight="1" x14ac:dyDescent="0.2">
      <c r="A34" s="47" t="s">
        <v>48</v>
      </c>
      <c r="B34" s="48">
        <f>MAX(-B33,0)</f>
        <v>0</v>
      </c>
      <c r="C34" s="48">
        <f>MAX(-C33,0)</f>
        <v>0</v>
      </c>
      <c r="D34" s="48">
        <f>MAX(-D33,0)</f>
        <v>809</v>
      </c>
      <c r="E34" s="48">
        <f>MAX(-E33,0)</f>
        <v>3209</v>
      </c>
    </row>
    <row r="35" spans="1:6" ht="16" customHeight="1" x14ac:dyDescent="0.2">
      <c r="A35" s="32"/>
      <c r="B35" s="32"/>
      <c r="C35" s="32"/>
      <c r="D35" s="32"/>
      <c r="E35" s="32"/>
    </row>
    <row r="36" spans="1:6" ht="16" customHeight="1" x14ac:dyDescent="0.2">
      <c r="A36" s="58" t="s">
        <v>49</v>
      </c>
      <c r="B36" s="54"/>
      <c r="C36" s="54"/>
      <c r="D36" s="54"/>
      <c r="E36" s="54"/>
      <c r="F36" s="54"/>
    </row>
    <row r="37" spans="1:6" ht="16" customHeight="1" x14ac:dyDescent="0.2">
      <c r="A37" s="34" t="s">
        <v>50</v>
      </c>
      <c r="B37" s="34" t="s">
        <v>51</v>
      </c>
      <c r="C37" s="34" t="s">
        <v>52</v>
      </c>
      <c r="D37" s="34" t="s">
        <v>53</v>
      </c>
      <c r="E37" s="34" t="s">
        <v>54</v>
      </c>
    </row>
    <row r="38" spans="1:6" ht="71" customHeight="1" x14ac:dyDescent="0.2">
      <c r="A38" s="52" t="s">
        <v>55</v>
      </c>
      <c r="B38" s="67" t="s">
        <v>347</v>
      </c>
      <c r="C38" s="67" t="s">
        <v>348</v>
      </c>
      <c r="D38" s="67" t="s">
        <v>351</v>
      </c>
      <c r="E38" s="67" t="s">
        <v>352</v>
      </c>
    </row>
    <row r="39" spans="1:6" ht="42" customHeight="1" x14ac:dyDescent="0.2">
      <c r="A39" s="52" t="s">
        <v>56</v>
      </c>
      <c r="B39" s="67" t="s">
        <v>353</v>
      </c>
      <c r="C39" s="67" t="s">
        <v>348</v>
      </c>
      <c r="D39" s="67" t="s">
        <v>354</v>
      </c>
      <c r="E39" s="67" t="s">
        <v>355</v>
      </c>
    </row>
    <row r="40" spans="1:6" ht="42" customHeight="1" x14ac:dyDescent="0.2">
      <c r="A40" s="52" t="s">
        <v>57</v>
      </c>
      <c r="B40" s="67" t="s">
        <v>356</v>
      </c>
      <c r="C40" s="67" t="s">
        <v>357</v>
      </c>
      <c r="D40" s="67" t="s">
        <v>358</v>
      </c>
      <c r="E40" s="67" t="s">
        <v>359</v>
      </c>
    </row>
    <row r="41" spans="1:6" ht="42" customHeight="1" x14ac:dyDescent="0.2">
      <c r="A41" s="52" t="s">
        <v>58</v>
      </c>
      <c r="B41" s="67" t="s">
        <v>360</v>
      </c>
      <c r="C41" s="67" t="s">
        <v>348</v>
      </c>
      <c r="D41" s="67" t="s">
        <v>361</v>
      </c>
      <c r="E41" s="67" t="s">
        <v>362</v>
      </c>
    </row>
    <row r="42" spans="1:6" ht="42" customHeight="1" x14ac:dyDescent="0.2">
      <c r="A42" s="52" t="s">
        <v>59</v>
      </c>
      <c r="B42" s="67" t="s">
        <v>363</v>
      </c>
      <c r="C42" s="67" t="s">
        <v>357</v>
      </c>
      <c r="D42" s="67" t="s">
        <v>358</v>
      </c>
      <c r="E42" s="68"/>
    </row>
    <row r="43" spans="1:6" ht="42" customHeight="1" x14ac:dyDescent="0.2">
      <c r="A43" s="52" t="s">
        <v>60</v>
      </c>
      <c r="B43" s="68"/>
      <c r="C43" s="68"/>
      <c r="D43" s="68"/>
      <c r="E43" s="68"/>
    </row>
    <row r="44" spans="1:6" ht="42" customHeight="1" x14ac:dyDescent="0.2">
      <c r="A44" s="52" t="s">
        <v>61</v>
      </c>
      <c r="B44" s="69" t="s">
        <v>365</v>
      </c>
      <c r="C44" s="67" t="s">
        <v>364</v>
      </c>
      <c r="D44" s="68"/>
      <c r="E44" s="68"/>
    </row>
    <row r="45" spans="1:6" ht="42" customHeight="1" x14ac:dyDescent="0.2">
      <c r="A45" s="52" t="s">
        <v>62</v>
      </c>
      <c r="B45" s="67" t="s">
        <v>366</v>
      </c>
      <c r="C45" s="67" t="s">
        <v>348</v>
      </c>
      <c r="D45" s="68"/>
      <c r="E45" s="68"/>
    </row>
    <row r="46" spans="1:6" ht="42" customHeight="1" x14ac:dyDescent="0.2">
      <c r="A46" s="52" t="s">
        <v>63</v>
      </c>
      <c r="B46" s="67" t="s">
        <v>367</v>
      </c>
      <c r="C46" s="67" t="s">
        <v>370</v>
      </c>
      <c r="D46" s="68"/>
      <c r="E46" s="68"/>
    </row>
    <row r="47" spans="1:6" ht="42" customHeight="1" x14ac:dyDescent="0.2">
      <c r="A47" s="52" t="s">
        <v>64</v>
      </c>
      <c r="B47" s="67" t="s">
        <v>368</v>
      </c>
      <c r="C47" s="67" t="s">
        <v>370</v>
      </c>
      <c r="D47" s="68"/>
      <c r="E47" s="68"/>
    </row>
    <row r="48" spans="1:6" ht="42" customHeight="1" x14ac:dyDescent="0.2">
      <c r="A48" s="52" t="s">
        <v>65</v>
      </c>
      <c r="B48" s="67" t="s">
        <v>369</v>
      </c>
      <c r="C48" s="67" t="s">
        <v>370</v>
      </c>
      <c r="D48" s="68"/>
      <c r="E48" s="68"/>
    </row>
    <row r="49" spans="1:6" ht="55" customHeight="1" x14ac:dyDescent="0.2">
      <c r="A49" s="32"/>
      <c r="B49" s="32"/>
      <c r="C49" s="32"/>
      <c r="D49" s="32"/>
      <c r="E49" s="32"/>
    </row>
    <row r="50" spans="1:6" x14ac:dyDescent="0.2">
      <c r="A50" s="58" t="s">
        <v>66</v>
      </c>
      <c r="B50" s="54"/>
      <c r="C50" s="54"/>
      <c r="D50" s="54"/>
      <c r="E50" s="54"/>
      <c r="F50" s="54"/>
    </row>
    <row r="51" spans="1:6" ht="52" customHeight="1" x14ac:dyDescent="0.2">
      <c r="A51" s="56" t="s">
        <v>67</v>
      </c>
      <c r="B51" s="54"/>
      <c r="C51" s="54"/>
      <c r="D51" s="54"/>
      <c r="E51" s="54"/>
      <c r="F51" s="54"/>
    </row>
    <row r="52" spans="1:6" ht="72" customHeight="1" x14ac:dyDescent="0.2">
      <c r="A52" s="70" t="s">
        <v>371</v>
      </c>
      <c r="B52" s="54"/>
      <c r="C52" s="54"/>
      <c r="D52" s="54"/>
      <c r="E52" s="54"/>
      <c r="F52" s="54"/>
    </row>
    <row r="53" spans="1:6" ht="52" customHeight="1" x14ac:dyDescent="0.2">
      <c r="A53" s="56" t="s">
        <v>68</v>
      </c>
      <c r="B53" s="54"/>
      <c r="C53" s="54"/>
      <c r="D53" s="54"/>
      <c r="E53" s="54"/>
      <c r="F53" s="54"/>
    </row>
    <row r="54" spans="1:6" ht="72" customHeight="1" x14ac:dyDescent="0.2">
      <c r="A54" s="71" t="s">
        <v>372</v>
      </c>
      <c r="B54" s="54"/>
      <c r="C54" s="54"/>
      <c r="D54" s="54"/>
      <c r="E54" s="54"/>
      <c r="F54" s="54"/>
    </row>
    <row r="55" spans="1:6" ht="52" customHeight="1" x14ac:dyDescent="0.2">
      <c r="A55" s="56" t="s">
        <v>69</v>
      </c>
      <c r="B55" s="54"/>
      <c r="C55" s="54"/>
      <c r="D55" s="54"/>
      <c r="E55" s="54"/>
      <c r="F55" s="54"/>
    </row>
    <row r="56" spans="1:6" ht="72" customHeight="1" x14ac:dyDescent="0.2">
      <c r="A56" s="57" t="s">
        <v>373</v>
      </c>
      <c r="B56" s="54"/>
      <c r="C56" s="54"/>
      <c r="D56" s="54"/>
      <c r="E56" s="54"/>
      <c r="F56" s="54"/>
    </row>
    <row r="57" spans="1:6" ht="52" customHeight="1" x14ac:dyDescent="0.2">
      <c r="A57" s="60" t="s">
        <v>70</v>
      </c>
      <c r="B57" s="54"/>
      <c r="C57" s="54"/>
      <c r="D57" s="54"/>
      <c r="E57" s="54"/>
      <c r="F57" s="54"/>
    </row>
    <row r="58" spans="1:6" ht="72" customHeight="1" x14ac:dyDescent="0.2">
      <c r="A58" s="57" t="s">
        <v>374</v>
      </c>
      <c r="B58" s="54"/>
      <c r="C58" s="54"/>
      <c r="D58" s="54"/>
      <c r="E58" s="54"/>
      <c r="F58" s="54"/>
    </row>
    <row r="59" spans="1:6" ht="52" customHeight="1" x14ac:dyDescent="0.2">
      <c r="A59" s="60" t="s">
        <v>71</v>
      </c>
      <c r="B59" s="54"/>
      <c r="C59" s="54"/>
      <c r="D59" s="54"/>
      <c r="E59" s="54"/>
      <c r="F59" s="54"/>
    </row>
    <row r="60" spans="1:6" ht="72" customHeight="1" x14ac:dyDescent="0.2">
      <c r="A60" s="57" t="s">
        <v>375</v>
      </c>
      <c r="B60" s="54"/>
      <c r="C60" s="54"/>
      <c r="D60" s="54"/>
      <c r="E60" s="54"/>
      <c r="F60" s="54"/>
    </row>
  </sheetData>
  <mergeCells count="18">
    <mergeCell ref="A60:F60"/>
    <mergeCell ref="A36:F36"/>
    <mergeCell ref="A1:F1"/>
    <mergeCell ref="A58:F58"/>
    <mergeCell ref="A50:F50"/>
    <mergeCell ref="A4:F4"/>
    <mergeCell ref="A56:F56"/>
    <mergeCell ref="A20:F20"/>
    <mergeCell ref="A21:F21"/>
    <mergeCell ref="A53:F53"/>
    <mergeCell ref="A55:F55"/>
    <mergeCell ref="A59:F59"/>
    <mergeCell ref="A57:F57"/>
    <mergeCell ref="A30:E30"/>
    <mergeCell ref="A2:F2"/>
    <mergeCell ref="A51:F51"/>
    <mergeCell ref="A52:F52"/>
    <mergeCell ref="A54:F5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AE60"/>
  </sheetPr>
  <dimension ref="A1:M49"/>
  <sheetViews>
    <sheetView tabSelected="1" topLeftCell="A25" zoomScale="170" zoomScaleNormal="170" workbookViewId="0">
      <selection activeCell="I41" sqref="I41"/>
    </sheetView>
  </sheetViews>
  <sheetFormatPr baseColWidth="10" defaultColWidth="8.83203125" defaultRowHeight="15" x14ac:dyDescent="0.2"/>
  <cols>
    <col min="1" max="1" width="34" customWidth="1"/>
    <col min="2" max="7" width="15" customWidth="1"/>
    <col min="8" max="8" width="17.33203125" customWidth="1"/>
    <col min="9" max="9" width="18" customWidth="1"/>
  </cols>
  <sheetData>
    <row r="1" spans="1:13" ht="17" customHeight="1" x14ac:dyDescent="0.2">
      <c r="A1" s="4" t="s">
        <v>149</v>
      </c>
    </row>
    <row r="3" spans="1:13" x14ac:dyDescent="0.2">
      <c r="A3" s="66" t="s">
        <v>150</v>
      </c>
      <c r="B3" s="54"/>
      <c r="C3" s="54"/>
      <c r="D3" s="54"/>
      <c r="E3" s="54"/>
      <c r="F3" s="54"/>
      <c r="G3" s="54"/>
      <c r="H3" s="54"/>
      <c r="I3" s="54"/>
    </row>
    <row r="4" spans="1:13" ht="16" customHeight="1" x14ac:dyDescent="0.2">
      <c r="A4" s="5" t="s">
        <v>90</v>
      </c>
      <c r="B4" s="5" t="s">
        <v>151</v>
      </c>
      <c r="C4" s="5" t="s">
        <v>152</v>
      </c>
      <c r="D4" s="5" t="s">
        <v>153</v>
      </c>
      <c r="E4" s="5" t="s">
        <v>154</v>
      </c>
      <c r="F4" s="5" t="s">
        <v>155</v>
      </c>
      <c r="G4" s="5" t="s">
        <v>156</v>
      </c>
      <c r="H4" s="5" t="s">
        <v>157</v>
      </c>
      <c r="I4" s="5" t="s">
        <v>158</v>
      </c>
      <c r="J4" s="5" t="s">
        <v>159</v>
      </c>
      <c r="K4" s="5" t="s">
        <v>160</v>
      </c>
      <c r="L4" s="5" t="s">
        <v>161</v>
      </c>
      <c r="M4" s="5" t="s">
        <v>162</v>
      </c>
    </row>
    <row r="5" spans="1:13" ht="16" customHeight="1" x14ac:dyDescent="0.2">
      <c r="A5" s="6" t="s">
        <v>104</v>
      </c>
      <c r="B5" s="7">
        <v>38</v>
      </c>
      <c r="C5" s="7">
        <v>42</v>
      </c>
      <c r="D5" s="7">
        <v>35</v>
      </c>
      <c r="E5" s="7">
        <v>44</v>
      </c>
      <c r="F5" s="7">
        <v>40</v>
      </c>
      <c r="G5" s="7">
        <v>37</v>
      </c>
      <c r="H5" s="7">
        <v>51</v>
      </c>
      <c r="I5" s="7">
        <v>39</v>
      </c>
      <c r="J5" s="7">
        <v>43</v>
      </c>
      <c r="K5" s="7">
        <v>46</v>
      </c>
      <c r="L5" s="7">
        <v>55</v>
      </c>
      <c r="M5" s="7">
        <v>48</v>
      </c>
    </row>
    <row r="6" spans="1:13" ht="16" customHeight="1" x14ac:dyDescent="0.2">
      <c r="A6" s="6" t="s">
        <v>105</v>
      </c>
      <c r="B6" s="7">
        <v>52</v>
      </c>
      <c r="C6" s="7">
        <v>48</v>
      </c>
      <c r="D6" s="7">
        <v>55</v>
      </c>
      <c r="E6" s="7">
        <v>61</v>
      </c>
      <c r="F6" s="7">
        <v>50</v>
      </c>
      <c r="G6" s="7">
        <v>58</v>
      </c>
      <c r="H6" s="7">
        <v>63</v>
      </c>
      <c r="I6" s="7">
        <v>54</v>
      </c>
      <c r="J6" s="7">
        <v>59</v>
      </c>
      <c r="K6" s="7">
        <v>66</v>
      </c>
      <c r="L6" s="7">
        <v>72</v>
      </c>
      <c r="M6" s="7">
        <v>60</v>
      </c>
    </row>
    <row r="7" spans="1:13" ht="16" customHeight="1" x14ac:dyDescent="0.2">
      <c r="A7" s="6" t="s">
        <v>106</v>
      </c>
      <c r="B7" s="7">
        <v>45</v>
      </c>
      <c r="C7" s="7">
        <v>50</v>
      </c>
      <c r="D7" s="7">
        <v>42</v>
      </c>
      <c r="E7" s="7">
        <v>48</v>
      </c>
      <c r="F7" s="7">
        <v>53</v>
      </c>
      <c r="G7" s="7">
        <v>46</v>
      </c>
      <c r="H7" s="7">
        <v>44</v>
      </c>
      <c r="I7" s="7">
        <v>55</v>
      </c>
      <c r="J7" s="7">
        <v>49</v>
      </c>
      <c r="K7" s="7">
        <v>52</v>
      </c>
      <c r="L7" s="7">
        <v>58</v>
      </c>
      <c r="M7" s="7">
        <v>47</v>
      </c>
    </row>
    <row r="8" spans="1:13" ht="16" customHeight="1" x14ac:dyDescent="0.2">
      <c r="A8" s="6" t="s">
        <v>107</v>
      </c>
      <c r="B8" s="7">
        <v>32</v>
      </c>
      <c r="C8" s="7">
        <v>28</v>
      </c>
      <c r="D8" s="7">
        <v>35</v>
      </c>
      <c r="E8" s="7">
        <v>30</v>
      </c>
      <c r="F8" s="7">
        <v>33</v>
      </c>
      <c r="G8" s="7">
        <v>36</v>
      </c>
      <c r="H8" s="7">
        <v>31</v>
      </c>
      <c r="I8" s="7">
        <v>29</v>
      </c>
      <c r="J8" s="7">
        <v>34</v>
      </c>
      <c r="K8" s="7">
        <v>38</v>
      </c>
      <c r="L8" s="7">
        <v>42</v>
      </c>
      <c r="M8" s="7">
        <v>35</v>
      </c>
    </row>
    <row r="9" spans="1:13" ht="16" customHeight="1" x14ac:dyDescent="0.2">
      <c r="A9" s="6" t="s">
        <v>108</v>
      </c>
      <c r="B9" s="7">
        <v>18</v>
      </c>
      <c r="C9" s="7">
        <v>15</v>
      </c>
      <c r="D9" s="7">
        <v>20</v>
      </c>
      <c r="E9" s="7">
        <v>17</v>
      </c>
      <c r="F9" s="7">
        <v>19</v>
      </c>
      <c r="G9" s="7">
        <v>16</v>
      </c>
      <c r="H9" s="7">
        <v>22</v>
      </c>
      <c r="I9" s="7">
        <v>18</v>
      </c>
      <c r="J9" s="7">
        <v>15</v>
      </c>
      <c r="K9" s="7">
        <v>21</v>
      </c>
      <c r="L9" s="7">
        <v>24</v>
      </c>
      <c r="M9" s="7">
        <v>19</v>
      </c>
    </row>
    <row r="10" spans="1:13" ht="16" customHeight="1" x14ac:dyDescent="0.2">
      <c r="A10" s="6" t="s">
        <v>109</v>
      </c>
      <c r="B10" s="7">
        <v>310</v>
      </c>
      <c r="C10" s="7">
        <v>290</v>
      </c>
      <c r="D10" s="7">
        <v>330</v>
      </c>
      <c r="E10" s="7">
        <v>340</v>
      </c>
      <c r="F10" s="7">
        <v>305</v>
      </c>
      <c r="G10" s="7">
        <v>325</v>
      </c>
      <c r="H10" s="7">
        <v>350</v>
      </c>
      <c r="I10" s="7">
        <v>315</v>
      </c>
      <c r="J10" s="7">
        <v>335</v>
      </c>
      <c r="K10" s="7">
        <v>360</v>
      </c>
      <c r="L10" s="7">
        <v>395</v>
      </c>
      <c r="M10" s="7">
        <v>345</v>
      </c>
    </row>
    <row r="12" spans="1:13" x14ac:dyDescent="0.2">
      <c r="A12" s="66" t="s">
        <v>163</v>
      </c>
      <c r="B12" s="54"/>
      <c r="C12" s="54"/>
      <c r="D12" s="54"/>
      <c r="E12" s="54"/>
      <c r="F12" s="54"/>
      <c r="G12" s="54"/>
      <c r="H12" s="54"/>
      <c r="I12" s="54"/>
    </row>
    <row r="13" spans="1:13" ht="32" customHeight="1" x14ac:dyDescent="0.2">
      <c r="A13" s="5" t="s">
        <v>90</v>
      </c>
      <c r="B13" s="5" t="s">
        <v>164</v>
      </c>
      <c r="C13" s="5" t="s">
        <v>165</v>
      </c>
      <c r="D13" s="5" t="s">
        <v>166</v>
      </c>
      <c r="E13" s="5" t="s">
        <v>167</v>
      </c>
      <c r="F13" s="5" t="s">
        <v>168</v>
      </c>
      <c r="G13" s="5" t="s">
        <v>169</v>
      </c>
      <c r="H13" s="5" t="s">
        <v>5</v>
      </c>
    </row>
    <row r="14" spans="1:13" ht="16" customHeight="1" x14ac:dyDescent="0.2">
      <c r="A14" s="6" t="s">
        <v>104</v>
      </c>
      <c r="B14" s="12">
        <f>AVERAGE(B5:M5)</f>
        <v>43.166666666666664</v>
      </c>
      <c r="C14" s="72">
        <f>STDEV(B5:M5)</f>
        <v>5.9822971163156797</v>
      </c>
      <c r="D14" s="19">
        <f>C14/B14</f>
        <v>0.13858603358260263</v>
      </c>
      <c r="E14" s="12">
        <f>MAX(B5:M5)</f>
        <v>55</v>
      </c>
      <c r="F14" s="12">
        <f>MIN(B5:M5)</f>
        <v>35</v>
      </c>
      <c r="G14" s="19">
        <f>E14/B14</f>
        <v>1.2741312741312742</v>
      </c>
      <c r="H14" s="14" t="s">
        <v>349</v>
      </c>
    </row>
    <row r="15" spans="1:13" ht="16" customHeight="1" x14ac:dyDescent="0.2">
      <c r="A15" s="6" t="s">
        <v>105</v>
      </c>
      <c r="B15" s="12">
        <f t="shared" ref="B15:B19" si="0">AVERAGE(B6:M6)</f>
        <v>58.166666666666664</v>
      </c>
      <c r="C15" s="72">
        <f t="shared" ref="C15:C19" si="1">STDEV(B6:M6)</f>
        <v>6.8997145307657757</v>
      </c>
      <c r="D15" s="19">
        <f t="shared" ref="D15:D19" si="2">C15/B15</f>
        <v>0.11861973405327982</v>
      </c>
      <c r="E15" s="12">
        <f t="shared" ref="E15:E19" si="3">MAX(B6:M6)</f>
        <v>72</v>
      </c>
      <c r="F15" s="12">
        <f t="shared" ref="F15:F19" si="4">MIN(B6:M6)</f>
        <v>48</v>
      </c>
      <c r="G15" s="19">
        <f t="shared" ref="G15:G19" si="5">E15/B15</f>
        <v>1.2378223495702005</v>
      </c>
      <c r="H15" s="14"/>
    </row>
    <row r="16" spans="1:13" ht="16" customHeight="1" x14ac:dyDescent="0.2">
      <c r="A16" s="6" t="s">
        <v>106</v>
      </c>
      <c r="B16" s="12">
        <f t="shared" si="0"/>
        <v>49.083333333333336</v>
      </c>
      <c r="C16" s="72">
        <f t="shared" si="1"/>
        <v>4.7378233079094141</v>
      </c>
      <c r="D16" s="19">
        <f t="shared" si="2"/>
        <v>9.6526111536354778E-2</v>
      </c>
      <c r="E16" s="12">
        <f t="shared" si="3"/>
        <v>58</v>
      </c>
      <c r="F16" s="12">
        <f t="shared" si="4"/>
        <v>42</v>
      </c>
      <c r="G16" s="19">
        <f t="shared" si="5"/>
        <v>1.1816638370118846</v>
      </c>
      <c r="H16" s="14"/>
    </row>
    <row r="17" spans="1:9" ht="16" customHeight="1" x14ac:dyDescent="0.2">
      <c r="A17" s="6" t="s">
        <v>107</v>
      </c>
      <c r="B17" s="12">
        <f t="shared" si="0"/>
        <v>33.583333333333336</v>
      </c>
      <c r="C17" s="72">
        <f t="shared" si="1"/>
        <v>3.9876703915337708</v>
      </c>
      <c r="D17" s="19">
        <f t="shared" si="2"/>
        <v>0.11873956500844975</v>
      </c>
      <c r="E17" s="12">
        <f t="shared" si="3"/>
        <v>42</v>
      </c>
      <c r="F17" s="12">
        <f t="shared" si="4"/>
        <v>28</v>
      </c>
      <c r="G17" s="19">
        <f t="shared" si="5"/>
        <v>1.2506203473945408</v>
      </c>
      <c r="H17" s="14"/>
    </row>
    <row r="18" spans="1:9" ht="16" customHeight="1" x14ac:dyDescent="0.2">
      <c r="A18" s="6" t="s">
        <v>108</v>
      </c>
      <c r="B18" s="12">
        <f t="shared" si="0"/>
        <v>18.666666666666668</v>
      </c>
      <c r="C18" s="72">
        <f t="shared" si="1"/>
        <v>2.7743413086658468</v>
      </c>
      <c r="D18" s="19">
        <f t="shared" si="2"/>
        <v>0.14862542724995606</v>
      </c>
      <c r="E18" s="12">
        <f t="shared" si="3"/>
        <v>24</v>
      </c>
      <c r="F18" s="12">
        <f t="shared" si="4"/>
        <v>15</v>
      </c>
      <c r="G18" s="19">
        <f t="shared" si="5"/>
        <v>1.2857142857142856</v>
      </c>
      <c r="H18" s="14" t="s">
        <v>350</v>
      </c>
    </row>
    <row r="19" spans="1:9" ht="16" customHeight="1" x14ac:dyDescent="0.2">
      <c r="A19" s="6" t="s">
        <v>109</v>
      </c>
      <c r="B19" s="12">
        <f t="shared" si="0"/>
        <v>333.33333333333331</v>
      </c>
      <c r="C19" s="72">
        <f t="shared" si="1"/>
        <v>27.988092706244441</v>
      </c>
      <c r="D19" s="19">
        <f t="shared" si="2"/>
        <v>8.3964278118733332E-2</v>
      </c>
      <c r="E19" s="12">
        <f t="shared" si="3"/>
        <v>395</v>
      </c>
      <c r="F19" s="12">
        <f t="shared" si="4"/>
        <v>290</v>
      </c>
      <c r="G19" s="19">
        <f t="shared" si="5"/>
        <v>1.1850000000000001</v>
      </c>
      <c r="H19" s="14"/>
    </row>
    <row r="21" spans="1:9" x14ac:dyDescent="0.2">
      <c r="A21" s="64" t="s">
        <v>170</v>
      </c>
      <c r="B21" s="62"/>
      <c r="C21" s="62"/>
      <c r="D21" s="62"/>
      <c r="E21" s="62"/>
      <c r="F21" s="62"/>
      <c r="G21" s="62"/>
      <c r="H21" s="63"/>
    </row>
    <row r="23" spans="1:9" x14ac:dyDescent="0.2">
      <c r="A23" s="66" t="s">
        <v>171</v>
      </c>
      <c r="B23" s="54"/>
      <c r="C23" s="54"/>
      <c r="D23" s="54"/>
      <c r="E23" s="54"/>
      <c r="F23" s="54"/>
      <c r="G23" s="54"/>
      <c r="H23" s="54"/>
      <c r="I23" s="54"/>
    </row>
    <row r="24" spans="1:9" x14ac:dyDescent="0.2">
      <c r="A24" s="64" t="s">
        <v>172</v>
      </c>
      <c r="B24" s="62"/>
      <c r="C24" s="62"/>
      <c r="D24" s="62"/>
      <c r="E24" s="62"/>
      <c r="F24" s="62"/>
      <c r="G24" s="62"/>
      <c r="H24" s="63"/>
    </row>
    <row r="25" spans="1:9" ht="48" customHeight="1" x14ac:dyDescent="0.2">
      <c r="A25" s="5" t="s">
        <v>90</v>
      </c>
      <c r="B25" s="5" t="s">
        <v>173</v>
      </c>
      <c r="C25" s="5" t="s">
        <v>174</v>
      </c>
      <c r="D25" s="5" t="s">
        <v>175</v>
      </c>
      <c r="E25" s="5" t="s">
        <v>176</v>
      </c>
      <c r="F25" s="5" t="s">
        <v>177</v>
      </c>
      <c r="G25" s="5" t="s">
        <v>178</v>
      </c>
      <c r="H25" s="5" t="s">
        <v>179</v>
      </c>
    </row>
    <row r="26" spans="1:9" ht="16" customHeight="1" x14ac:dyDescent="0.2">
      <c r="A26" s="6" t="s">
        <v>104</v>
      </c>
      <c r="B26" s="7">
        <v>5</v>
      </c>
      <c r="C26" s="12">
        <f>1.65*C14*SQRT(B26)</f>
        <v>22.071757972576663</v>
      </c>
      <c r="D26" s="12">
        <f>B14*B26+C26</f>
        <v>237.90509130590999</v>
      </c>
      <c r="E26" s="8">
        <v>420</v>
      </c>
      <c r="F26" s="20">
        <f>E26/B14</f>
        <v>9.7297297297297298</v>
      </c>
      <c r="G26" s="19" t="s">
        <v>376</v>
      </c>
      <c r="H26" s="12" t="s">
        <v>358</v>
      </c>
    </row>
    <row r="27" spans="1:9" ht="16" customHeight="1" x14ac:dyDescent="0.2">
      <c r="A27" s="6" t="s">
        <v>105</v>
      </c>
      <c r="B27" s="7">
        <v>5</v>
      </c>
      <c r="C27" s="12">
        <f t="shared" ref="C27:C31" si="6">1.65*C15*SQRT(B27)</f>
        <v>25.456580681623311</v>
      </c>
      <c r="D27" s="12">
        <f t="shared" ref="D27:D31" si="7">B15*B27+C27</f>
        <v>316.28991401495665</v>
      </c>
      <c r="E27" s="8">
        <v>580</v>
      </c>
      <c r="F27" s="20">
        <f t="shared" ref="F27:F31" si="8">E27/B15</f>
        <v>9.9713467048710598</v>
      </c>
      <c r="G27" s="19" t="s">
        <v>376</v>
      </c>
      <c r="H27" s="12" t="s">
        <v>358</v>
      </c>
    </row>
    <row r="28" spans="1:9" ht="16" customHeight="1" x14ac:dyDescent="0.2">
      <c r="A28" s="6" t="s">
        <v>106</v>
      </c>
      <c r="B28" s="7">
        <v>5</v>
      </c>
      <c r="C28" s="12">
        <f t="shared" si="6"/>
        <v>17.480256720082807</v>
      </c>
      <c r="D28" s="12">
        <f t="shared" si="7"/>
        <v>262.89692338674951</v>
      </c>
      <c r="E28" s="8">
        <v>510</v>
      </c>
      <c r="F28" s="20">
        <f t="shared" si="8"/>
        <v>10.390492359932088</v>
      </c>
      <c r="G28" s="19" t="s">
        <v>376</v>
      </c>
      <c r="H28" s="12" t="s">
        <v>358</v>
      </c>
    </row>
    <row r="29" spans="1:9" ht="16" customHeight="1" x14ac:dyDescent="0.2">
      <c r="A29" s="6" t="s">
        <v>107</v>
      </c>
      <c r="B29" s="7">
        <v>5</v>
      </c>
      <c r="C29" s="12">
        <f t="shared" si="6"/>
        <v>14.712558411098977</v>
      </c>
      <c r="D29" s="12">
        <f t="shared" si="7"/>
        <v>182.62922507776565</v>
      </c>
      <c r="E29" s="8">
        <v>340</v>
      </c>
      <c r="F29" s="20">
        <f t="shared" si="8"/>
        <v>10.124069478908188</v>
      </c>
      <c r="G29" s="19" t="s">
        <v>376</v>
      </c>
      <c r="H29" s="12" t="s">
        <v>358</v>
      </c>
    </row>
    <row r="30" spans="1:9" ht="16" customHeight="1" x14ac:dyDescent="0.2">
      <c r="A30" s="6" t="s">
        <v>108</v>
      </c>
      <c r="B30" s="7">
        <v>5</v>
      </c>
      <c r="C30" s="12">
        <f t="shared" si="6"/>
        <v>10.235966002288224</v>
      </c>
      <c r="D30" s="12">
        <f t="shared" si="7"/>
        <v>103.56929933562157</v>
      </c>
      <c r="E30" s="8">
        <v>620</v>
      </c>
      <c r="F30" s="20">
        <f t="shared" si="8"/>
        <v>33.214285714285715</v>
      </c>
      <c r="G30" s="19" t="s">
        <v>376</v>
      </c>
      <c r="H30" s="12" t="s">
        <v>358</v>
      </c>
    </row>
    <row r="31" spans="1:9" ht="16" customHeight="1" x14ac:dyDescent="0.2">
      <c r="A31" s="6" t="s">
        <v>109</v>
      </c>
      <c r="B31" s="7">
        <v>5</v>
      </c>
      <c r="C31" s="12">
        <f t="shared" si="6"/>
        <v>103.26240845535223</v>
      </c>
      <c r="D31" s="12">
        <f t="shared" si="7"/>
        <v>1769.9290751220187</v>
      </c>
      <c r="E31" s="8">
        <v>4200</v>
      </c>
      <c r="F31" s="20">
        <f t="shared" si="8"/>
        <v>12.600000000000001</v>
      </c>
      <c r="G31" s="19" t="s">
        <v>376</v>
      </c>
      <c r="H31" s="12" t="s">
        <v>358</v>
      </c>
    </row>
    <row r="33" spans="1:9" x14ac:dyDescent="0.2">
      <c r="A33" s="66" t="s">
        <v>180</v>
      </c>
      <c r="B33" s="54"/>
      <c r="C33" s="54"/>
      <c r="D33" s="54"/>
      <c r="E33" s="54"/>
      <c r="F33" s="54"/>
      <c r="G33" s="54"/>
      <c r="H33" s="54"/>
      <c r="I33" s="54"/>
    </row>
    <row r="34" spans="1:9" x14ac:dyDescent="0.2">
      <c r="A34" s="64" t="s">
        <v>181</v>
      </c>
      <c r="B34" s="62"/>
      <c r="C34" s="62"/>
      <c r="D34" s="62"/>
      <c r="E34" s="62"/>
      <c r="F34" s="62"/>
      <c r="G34" s="62"/>
      <c r="H34" s="63"/>
    </row>
    <row r="35" spans="1:9" ht="48" customHeight="1" x14ac:dyDescent="0.2">
      <c r="A35" s="5" t="s">
        <v>90</v>
      </c>
      <c r="B35" s="5" t="s">
        <v>182</v>
      </c>
      <c r="C35" s="5" t="s">
        <v>183</v>
      </c>
      <c r="D35" s="5" t="s">
        <v>184</v>
      </c>
      <c r="E35" s="5" t="s">
        <v>185</v>
      </c>
      <c r="F35" s="5" t="s">
        <v>186</v>
      </c>
    </row>
    <row r="36" spans="1:9" ht="16" customHeight="1" x14ac:dyDescent="0.2">
      <c r="A36" s="6" t="s">
        <v>109</v>
      </c>
      <c r="B36" s="12">
        <f>1.65*C19*SQRT(10)</f>
        <v>146.0350985208693</v>
      </c>
      <c r="C36" s="12">
        <f>B19*10+B36</f>
        <v>3479.3684318542023</v>
      </c>
      <c r="D36" s="12">
        <f>B36*E36</f>
        <v>1460.3509852086929</v>
      </c>
      <c r="E36" s="10">
        <v>10</v>
      </c>
      <c r="F36" s="16">
        <f>D36</f>
        <v>1460.3509852086929</v>
      </c>
    </row>
    <row r="37" spans="1:9" ht="16" customHeight="1" x14ac:dyDescent="0.2">
      <c r="A37" s="6" t="s">
        <v>187</v>
      </c>
      <c r="F37" s="16"/>
    </row>
    <row r="39" spans="1:9" x14ac:dyDescent="0.2">
      <c r="A39" s="66" t="s">
        <v>137</v>
      </c>
      <c r="B39" s="54"/>
      <c r="C39" s="54"/>
      <c r="D39" s="54"/>
      <c r="E39" s="54"/>
      <c r="F39" s="54"/>
      <c r="G39" s="54"/>
      <c r="H39" s="54"/>
      <c r="I39" s="54"/>
    </row>
    <row r="40" spans="1:9" x14ac:dyDescent="0.2">
      <c r="A40" s="65" t="s">
        <v>188</v>
      </c>
      <c r="B40" s="62"/>
      <c r="C40" s="62"/>
      <c r="D40" s="62"/>
      <c r="E40" s="62"/>
      <c r="F40" s="62"/>
      <c r="G40" s="62"/>
      <c r="H40" s="63"/>
    </row>
    <row r="41" spans="1:9" ht="55" customHeight="1" x14ac:dyDescent="0.2">
      <c r="A41" s="61" t="s">
        <v>377</v>
      </c>
      <c r="B41" s="62"/>
      <c r="C41" s="62"/>
      <c r="D41" s="62"/>
      <c r="E41" s="62"/>
      <c r="F41" s="62"/>
      <c r="G41" s="62"/>
      <c r="H41" s="63"/>
    </row>
    <row r="42" spans="1:9" x14ac:dyDescent="0.2">
      <c r="A42" s="65" t="s">
        <v>189</v>
      </c>
      <c r="B42" s="62"/>
      <c r="C42" s="62"/>
      <c r="D42" s="62"/>
      <c r="E42" s="62"/>
      <c r="F42" s="62"/>
      <c r="G42" s="62"/>
      <c r="H42" s="63"/>
    </row>
    <row r="43" spans="1:9" ht="55" customHeight="1" x14ac:dyDescent="0.2">
      <c r="A43" s="61" t="s">
        <v>378</v>
      </c>
      <c r="B43" s="62"/>
      <c r="C43" s="62"/>
      <c r="D43" s="62"/>
      <c r="E43" s="62"/>
      <c r="F43" s="62"/>
      <c r="G43" s="62"/>
      <c r="H43" s="63"/>
    </row>
    <row r="44" spans="1:9" x14ac:dyDescent="0.2">
      <c r="A44" s="65" t="s">
        <v>190</v>
      </c>
      <c r="B44" s="62"/>
      <c r="C44" s="62"/>
      <c r="D44" s="62"/>
      <c r="E44" s="62"/>
      <c r="F44" s="62"/>
      <c r="G44" s="62"/>
      <c r="H44" s="63"/>
    </row>
    <row r="45" spans="1:9" ht="55" customHeight="1" x14ac:dyDescent="0.2">
      <c r="A45" s="61" t="s">
        <v>379</v>
      </c>
      <c r="B45" s="62"/>
      <c r="C45" s="62"/>
      <c r="D45" s="62"/>
      <c r="E45" s="62"/>
      <c r="F45" s="62"/>
      <c r="G45" s="62"/>
      <c r="H45" s="63"/>
    </row>
    <row r="46" spans="1:9" x14ac:dyDescent="0.2">
      <c r="A46" s="65" t="s">
        <v>191</v>
      </c>
      <c r="B46" s="62"/>
      <c r="C46" s="62"/>
      <c r="D46" s="62"/>
      <c r="E46" s="62"/>
      <c r="F46" s="62"/>
      <c r="G46" s="62"/>
      <c r="H46" s="63"/>
    </row>
    <row r="47" spans="1:9" ht="55" customHeight="1" x14ac:dyDescent="0.2">
      <c r="A47" s="61" t="s">
        <v>380</v>
      </c>
      <c r="B47" s="62"/>
      <c r="C47" s="62"/>
      <c r="D47" s="62"/>
      <c r="E47" s="62"/>
      <c r="F47" s="62"/>
      <c r="G47" s="62"/>
      <c r="H47" s="63"/>
    </row>
    <row r="48" spans="1:9" x14ac:dyDescent="0.2">
      <c r="A48" s="65" t="s">
        <v>192</v>
      </c>
      <c r="B48" s="62"/>
      <c r="C48" s="62"/>
      <c r="D48" s="62"/>
      <c r="E48" s="62"/>
      <c r="F48" s="62"/>
      <c r="G48" s="62"/>
      <c r="H48" s="63"/>
    </row>
    <row r="49" spans="1:8" ht="55" customHeight="1" x14ac:dyDescent="0.2">
      <c r="A49" s="61" t="s">
        <v>381</v>
      </c>
      <c r="B49" s="62"/>
      <c r="C49" s="62"/>
      <c r="D49" s="62"/>
      <c r="E49" s="62"/>
      <c r="F49" s="62"/>
      <c r="G49" s="62"/>
      <c r="H49" s="63"/>
    </row>
  </sheetData>
  <mergeCells count="18">
    <mergeCell ref="A49:H49"/>
    <mergeCell ref="A3:I3"/>
    <mergeCell ref="A44:H44"/>
    <mergeCell ref="A45:H45"/>
    <mergeCell ref="A46:H46"/>
    <mergeCell ref="A39:I39"/>
    <mergeCell ref="A12:I12"/>
    <mergeCell ref="A47:H47"/>
    <mergeCell ref="A34:H34"/>
    <mergeCell ref="A48:H48"/>
    <mergeCell ref="A21:H21"/>
    <mergeCell ref="A33:I33"/>
    <mergeCell ref="A43:H43"/>
    <mergeCell ref="A24:H24"/>
    <mergeCell ref="A40:H40"/>
    <mergeCell ref="A42:H42"/>
    <mergeCell ref="A23:I23"/>
    <mergeCell ref="A41:H4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44AD"/>
  </sheetPr>
  <dimension ref="A1:N61"/>
  <sheetViews>
    <sheetView zoomScale="215" zoomScaleNormal="215" workbookViewId="0"/>
  </sheetViews>
  <sheetFormatPr baseColWidth="10" defaultColWidth="8.83203125" defaultRowHeight="15" x14ac:dyDescent="0.2"/>
  <cols>
    <col min="1" max="1" width="32" customWidth="1"/>
    <col min="2" max="13" width="13" customWidth="1"/>
    <col min="14" max="14" width="14" customWidth="1"/>
  </cols>
  <sheetData>
    <row r="1" spans="1:14" ht="17" customHeight="1" x14ac:dyDescent="0.2">
      <c r="A1" s="4" t="s">
        <v>193</v>
      </c>
    </row>
    <row r="3" spans="1:14" x14ac:dyDescent="0.2">
      <c r="A3" s="66" t="s">
        <v>194</v>
      </c>
      <c r="B3" s="54"/>
      <c r="C3" s="54"/>
      <c r="D3" s="54"/>
      <c r="E3" s="54"/>
      <c r="F3" s="54"/>
      <c r="G3" s="54"/>
      <c r="H3" s="54"/>
      <c r="I3" s="54"/>
      <c r="J3" s="54"/>
      <c r="K3" s="54"/>
      <c r="L3" s="54"/>
      <c r="M3" s="54"/>
      <c r="N3" s="54"/>
    </row>
    <row r="4" spans="1:14" ht="16" customHeight="1" x14ac:dyDescent="0.2">
      <c r="A4" s="5" t="s">
        <v>3</v>
      </c>
      <c r="B4" s="5" t="s">
        <v>91</v>
      </c>
      <c r="C4" s="5" t="s">
        <v>92</v>
      </c>
      <c r="D4" s="5" t="s">
        <v>93</v>
      </c>
      <c r="E4" s="5" t="s">
        <v>94</v>
      </c>
      <c r="F4" s="5" t="s">
        <v>95</v>
      </c>
      <c r="G4" s="5" t="s">
        <v>96</v>
      </c>
      <c r="H4" s="5" t="s">
        <v>97</v>
      </c>
      <c r="I4" s="5" t="s">
        <v>98</v>
      </c>
      <c r="J4" s="5" t="s">
        <v>99</v>
      </c>
      <c r="K4" s="5" t="s">
        <v>100</v>
      </c>
      <c r="L4" s="5" t="s">
        <v>101</v>
      </c>
      <c r="M4" s="5" t="s">
        <v>102</v>
      </c>
    </row>
    <row r="5" spans="1:14" ht="16" customHeight="1" x14ac:dyDescent="0.2">
      <c r="A5" s="6" t="s">
        <v>195</v>
      </c>
      <c r="B5" s="7">
        <v>320</v>
      </c>
      <c r="C5" s="7">
        <v>480</v>
      </c>
      <c r="D5" s="7">
        <v>710</v>
      </c>
      <c r="E5" s="7">
        <v>890</v>
      </c>
      <c r="F5" s="7">
        <v>1050</v>
      </c>
      <c r="G5" s="7">
        <v>1180</v>
      </c>
      <c r="H5" s="7">
        <v>1280</v>
      </c>
      <c r="I5" s="7">
        <v>1350</v>
      </c>
      <c r="J5" s="7">
        <v>1520</v>
      </c>
      <c r="K5" s="7">
        <v>1680</v>
      </c>
      <c r="L5" s="7">
        <v>2400</v>
      </c>
      <c r="M5" s="7">
        <v>2340</v>
      </c>
    </row>
    <row r="6" spans="1:14" ht="16" customHeight="1" x14ac:dyDescent="0.2">
      <c r="A6" s="6" t="s">
        <v>121</v>
      </c>
      <c r="B6" s="11">
        <v>0.15</v>
      </c>
      <c r="C6" s="11">
        <v>0.13</v>
      </c>
      <c r="D6" s="11">
        <v>0.12</v>
      </c>
      <c r="E6" s="11">
        <v>0.11</v>
      </c>
      <c r="F6" s="11">
        <v>0.1</v>
      </c>
      <c r="G6" s="11">
        <v>0.09</v>
      </c>
      <c r="H6" s="11">
        <v>0.09</v>
      </c>
      <c r="I6" s="11">
        <v>0.09</v>
      </c>
      <c r="J6" s="11">
        <v>0.08</v>
      </c>
      <c r="K6" s="11">
        <v>0.08</v>
      </c>
      <c r="L6" s="11">
        <v>0.1</v>
      </c>
      <c r="M6" s="11">
        <v>0.09</v>
      </c>
    </row>
    <row r="7" spans="1:14" ht="16" customHeight="1" x14ac:dyDescent="0.2">
      <c r="A7" s="6" t="s">
        <v>196</v>
      </c>
      <c r="B7" s="10">
        <v>180</v>
      </c>
      <c r="C7" s="10">
        <v>150</v>
      </c>
      <c r="D7" s="10">
        <v>140</v>
      </c>
      <c r="E7" s="10">
        <v>130</v>
      </c>
      <c r="F7" s="10">
        <v>120</v>
      </c>
      <c r="G7" s="10">
        <v>110</v>
      </c>
      <c r="H7" s="10">
        <v>100</v>
      </c>
      <c r="I7" s="10">
        <v>95</v>
      </c>
      <c r="J7" s="10">
        <v>110</v>
      </c>
      <c r="K7" s="10">
        <v>120</v>
      </c>
      <c r="L7" s="10">
        <v>200</v>
      </c>
      <c r="M7" s="10">
        <v>160</v>
      </c>
    </row>
    <row r="8" spans="1:14" ht="16" customHeight="1" x14ac:dyDescent="0.2">
      <c r="A8" s="6" t="s">
        <v>197</v>
      </c>
      <c r="B8" s="10">
        <v>165</v>
      </c>
      <c r="C8" s="10">
        <v>142</v>
      </c>
      <c r="D8" s="10">
        <v>128</v>
      </c>
      <c r="E8" s="10">
        <v>115</v>
      </c>
      <c r="F8" s="10">
        <v>98</v>
      </c>
      <c r="G8" s="10">
        <v>82</v>
      </c>
      <c r="H8" s="10">
        <v>74</v>
      </c>
      <c r="I8" s="10">
        <v>68</v>
      </c>
      <c r="J8" s="10">
        <v>72</v>
      </c>
      <c r="K8" s="10">
        <v>71</v>
      </c>
      <c r="L8" s="10">
        <v>83</v>
      </c>
      <c r="M8" s="10">
        <v>68</v>
      </c>
    </row>
    <row r="10" spans="1:14" x14ac:dyDescent="0.2">
      <c r="A10" s="64" t="s">
        <v>198</v>
      </c>
      <c r="B10" s="62"/>
      <c r="C10" s="62"/>
      <c r="D10" s="62"/>
      <c r="E10" s="62"/>
      <c r="F10" s="62"/>
      <c r="G10" s="62"/>
      <c r="H10" s="62"/>
      <c r="I10" s="62"/>
      <c r="J10" s="62"/>
      <c r="K10" s="62"/>
      <c r="L10" s="62"/>
      <c r="M10" s="63"/>
    </row>
    <row r="12" spans="1:14" x14ac:dyDescent="0.2">
      <c r="A12" s="66" t="s">
        <v>199</v>
      </c>
      <c r="B12" s="54"/>
      <c r="C12" s="54"/>
      <c r="D12" s="54"/>
      <c r="E12" s="54"/>
      <c r="F12" s="54"/>
      <c r="G12" s="54"/>
      <c r="H12" s="54"/>
      <c r="I12" s="54"/>
      <c r="J12" s="54"/>
      <c r="K12" s="54"/>
      <c r="L12" s="54"/>
      <c r="M12" s="54"/>
      <c r="N12" s="54"/>
    </row>
    <row r="13" spans="1:14" ht="16" customHeight="1" x14ac:dyDescent="0.2">
      <c r="A13" s="17" t="s">
        <v>113</v>
      </c>
      <c r="B13" s="18" t="s">
        <v>200</v>
      </c>
    </row>
    <row r="14" spans="1:14" ht="16" customHeight="1" x14ac:dyDescent="0.2">
      <c r="A14" s="17" t="s">
        <v>114</v>
      </c>
      <c r="B14" s="18" t="s">
        <v>201</v>
      </c>
    </row>
    <row r="15" spans="1:14" ht="16" customHeight="1" x14ac:dyDescent="0.2">
      <c r="A15" s="17" t="s">
        <v>202</v>
      </c>
      <c r="B15" s="18" t="s">
        <v>203</v>
      </c>
    </row>
    <row r="16" spans="1:14" ht="16" customHeight="1" x14ac:dyDescent="0.2">
      <c r="A16" s="17" t="s">
        <v>122</v>
      </c>
      <c r="B16" s="18" t="s">
        <v>204</v>
      </c>
    </row>
    <row r="17" spans="1:14" ht="16" customHeight="1" x14ac:dyDescent="0.2">
      <c r="A17" s="17" t="s">
        <v>205</v>
      </c>
      <c r="B17" s="18" t="s">
        <v>206</v>
      </c>
    </row>
    <row r="18" spans="1:14" ht="16" customHeight="1" x14ac:dyDescent="0.2">
      <c r="A18" s="17" t="s">
        <v>207</v>
      </c>
      <c r="B18" s="18" t="s">
        <v>208</v>
      </c>
    </row>
    <row r="19" spans="1:14" ht="16" customHeight="1" x14ac:dyDescent="0.2">
      <c r="A19" s="17" t="s">
        <v>209</v>
      </c>
      <c r="B19" s="18" t="s">
        <v>210</v>
      </c>
    </row>
    <row r="20" spans="1:14" ht="16" customHeight="1" x14ac:dyDescent="0.2">
      <c r="A20" s="17" t="s">
        <v>211</v>
      </c>
      <c r="B20" s="18" t="s">
        <v>212</v>
      </c>
    </row>
    <row r="21" spans="1:14" ht="16" customHeight="1" x14ac:dyDescent="0.2">
      <c r="A21" s="17" t="s">
        <v>213</v>
      </c>
      <c r="B21" s="18" t="s">
        <v>214</v>
      </c>
    </row>
    <row r="22" spans="1:14" ht="16" customHeight="1" x14ac:dyDescent="0.2">
      <c r="A22" s="17" t="s">
        <v>215</v>
      </c>
      <c r="B22" s="18" t="s">
        <v>216</v>
      </c>
    </row>
    <row r="23" spans="1:14" ht="32" customHeight="1" x14ac:dyDescent="0.2">
      <c r="A23" s="17" t="s">
        <v>217</v>
      </c>
      <c r="B23" s="18" t="s">
        <v>218</v>
      </c>
    </row>
    <row r="24" spans="1:14" ht="16" customHeight="1" x14ac:dyDescent="0.2">
      <c r="A24" s="17" t="s">
        <v>219</v>
      </c>
      <c r="B24" s="18" t="s">
        <v>220</v>
      </c>
    </row>
    <row r="25" spans="1:14" ht="16" customHeight="1" x14ac:dyDescent="0.2">
      <c r="A25" s="17" t="s">
        <v>221</v>
      </c>
      <c r="B25" s="18" t="s">
        <v>222</v>
      </c>
    </row>
    <row r="26" spans="1:14" ht="16" customHeight="1" x14ac:dyDescent="0.2">
      <c r="A26" s="17" t="s">
        <v>223</v>
      </c>
      <c r="B26" s="18" t="s">
        <v>224</v>
      </c>
    </row>
    <row r="27" spans="1:14" ht="16" customHeight="1" x14ac:dyDescent="0.2">
      <c r="A27" s="17" t="s">
        <v>225</v>
      </c>
      <c r="B27" s="18" t="s">
        <v>226</v>
      </c>
    </row>
    <row r="29" spans="1:14" x14ac:dyDescent="0.2">
      <c r="A29" s="66" t="s">
        <v>227</v>
      </c>
      <c r="B29" s="54"/>
      <c r="C29" s="54"/>
      <c r="D29" s="54"/>
      <c r="E29" s="54"/>
      <c r="F29" s="54"/>
      <c r="G29" s="54"/>
      <c r="H29" s="54"/>
      <c r="I29" s="54"/>
      <c r="J29" s="54"/>
      <c r="K29" s="54"/>
      <c r="L29" s="54"/>
      <c r="M29" s="54"/>
      <c r="N29" s="54"/>
    </row>
    <row r="30" spans="1:14" ht="16" customHeight="1" x14ac:dyDescent="0.2">
      <c r="A30" s="5" t="s">
        <v>3</v>
      </c>
      <c r="B30" s="5" t="s">
        <v>94</v>
      </c>
      <c r="C30" s="5" t="s">
        <v>95</v>
      </c>
      <c r="D30" s="5" t="s">
        <v>96</v>
      </c>
      <c r="E30" s="5" t="s">
        <v>97</v>
      </c>
      <c r="F30" s="5" t="s">
        <v>98</v>
      </c>
      <c r="G30" s="5" t="s">
        <v>99</v>
      </c>
      <c r="H30" s="5" t="s">
        <v>100</v>
      </c>
      <c r="I30" s="5" t="s">
        <v>101</v>
      </c>
      <c r="J30" s="5" t="s">
        <v>102</v>
      </c>
      <c r="K30" s="5" t="s">
        <v>228</v>
      </c>
      <c r="L30" s="5" t="s">
        <v>229</v>
      </c>
      <c r="M30" s="5" t="s">
        <v>230</v>
      </c>
      <c r="N30" s="5" t="s">
        <v>231</v>
      </c>
    </row>
    <row r="31" spans="1:14" ht="16" customHeight="1" x14ac:dyDescent="0.2">
      <c r="A31" s="6" t="s">
        <v>232</v>
      </c>
      <c r="B31" s="12"/>
      <c r="C31" s="12"/>
      <c r="D31" s="12"/>
      <c r="E31" s="12"/>
      <c r="F31" s="12"/>
      <c r="G31" s="12"/>
      <c r="H31" s="12"/>
      <c r="I31" s="12"/>
      <c r="J31" s="12"/>
      <c r="K31" s="12"/>
      <c r="L31" s="12"/>
      <c r="M31" s="12"/>
      <c r="N31" s="12"/>
    </row>
    <row r="32" spans="1:14" ht="16" customHeight="1" x14ac:dyDescent="0.2">
      <c r="A32" s="6" t="s">
        <v>233</v>
      </c>
      <c r="B32" s="12"/>
      <c r="C32" s="12"/>
      <c r="D32" s="12"/>
      <c r="E32" s="12"/>
      <c r="F32" s="12"/>
      <c r="G32" s="12"/>
      <c r="H32" s="12"/>
      <c r="I32" s="12"/>
      <c r="J32" s="12"/>
      <c r="K32" s="12"/>
      <c r="L32" s="12"/>
      <c r="M32" s="12"/>
      <c r="N32" s="12"/>
    </row>
    <row r="33" spans="1:14" ht="16" customHeight="1" x14ac:dyDescent="0.2">
      <c r="A33" s="6" t="s">
        <v>234</v>
      </c>
      <c r="B33" s="12"/>
      <c r="C33" s="12"/>
      <c r="D33" s="12"/>
      <c r="E33" s="12"/>
      <c r="F33" s="12"/>
      <c r="G33" s="12"/>
      <c r="H33" s="12"/>
      <c r="I33" s="12"/>
      <c r="J33" s="12"/>
      <c r="K33" s="12"/>
      <c r="L33" s="12"/>
      <c r="M33" s="12"/>
      <c r="N33" s="12"/>
    </row>
    <row r="34" spans="1:14" ht="16" customHeight="1" x14ac:dyDescent="0.2">
      <c r="A34" s="6" t="s">
        <v>235</v>
      </c>
      <c r="B34" s="12"/>
      <c r="C34" s="12"/>
      <c r="D34" s="12"/>
      <c r="E34" s="12"/>
      <c r="F34" s="12"/>
      <c r="G34" s="12"/>
      <c r="H34" s="12"/>
      <c r="I34" s="12"/>
      <c r="J34" s="12"/>
      <c r="K34" s="12"/>
      <c r="L34" s="12"/>
      <c r="M34" s="12"/>
      <c r="N34" s="12"/>
    </row>
    <row r="35" spans="1:14" ht="16" customHeight="1" x14ac:dyDescent="0.2">
      <c r="A35" s="6" t="s">
        <v>236</v>
      </c>
      <c r="B35" s="12"/>
      <c r="C35" s="12"/>
      <c r="D35" s="12"/>
      <c r="E35" s="12"/>
      <c r="F35" s="12"/>
      <c r="G35" s="12"/>
      <c r="H35" s="12"/>
      <c r="I35" s="12"/>
      <c r="J35" s="12"/>
      <c r="K35" s="12"/>
      <c r="L35" s="12"/>
      <c r="M35" s="12"/>
      <c r="N35" s="12"/>
    </row>
    <row r="36" spans="1:14" ht="16" customHeight="1" x14ac:dyDescent="0.2">
      <c r="A36" s="6" t="s">
        <v>237</v>
      </c>
      <c r="B36" s="12"/>
      <c r="C36" s="12"/>
      <c r="D36" s="12"/>
      <c r="E36" s="12"/>
      <c r="F36" s="12"/>
      <c r="G36" s="12"/>
      <c r="H36" s="12"/>
      <c r="I36" s="12"/>
      <c r="J36" s="12"/>
      <c r="K36" s="12"/>
      <c r="L36" s="12"/>
      <c r="M36" s="12"/>
      <c r="N36" s="12"/>
    </row>
    <row r="37" spans="1:14" ht="16" customHeight="1" x14ac:dyDescent="0.2">
      <c r="A37" s="6" t="s">
        <v>196</v>
      </c>
      <c r="B37" s="12"/>
      <c r="C37" s="12"/>
      <c r="D37" s="12"/>
      <c r="E37" s="12"/>
      <c r="F37" s="12"/>
      <c r="G37" s="12"/>
      <c r="H37" s="12"/>
      <c r="I37" s="12"/>
      <c r="J37" s="12"/>
      <c r="K37" s="12"/>
      <c r="L37" s="12"/>
      <c r="M37" s="12"/>
      <c r="N37" s="12"/>
    </row>
    <row r="38" spans="1:14" ht="16" customHeight="1" x14ac:dyDescent="0.2">
      <c r="A38" s="6" t="s">
        <v>238</v>
      </c>
      <c r="B38" s="12"/>
      <c r="C38" s="12"/>
      <c r="D38" s="12"/>
      <c r="E38" s="12"/>
      <c r="F38" s="12"/>
      <c r="G38" s="12"/>
      <c r="H38" s="12"/>
      <c r="I38" s="12"/>
      <c r="J38" s="12"/>
      <c r="K38" s="12"/>
      <c r="L38" s="12"/>
      <c r="M38" s="12"/>
      <c r="N38" s="12"/>
    </row>
    <row r="40" spans="1:14" x14ac:dyDescent="0.2">
      <c r="A40" s="66" t="s">
        <v>239</v>
      </c>
      <c r="B40" s="54"/>
      <c r="C40" s="54"/>
      <c r="D40" s="54"/>
      <c r="E40" s="54"/>
      <c r="F40" s="54"/>
      <c r="G40" s="54"/>
      <c r="H40" s="54"/>
      <c r="I40" s="54"/>
      <c r="J40" s="54"/>
      <c r="K40" s="54"/>
      <c r="L40" s="54"/>
      <c r="M40" s="54"/>
      <c r="N40" s="54"/>
    </row>
    <row r="41" spans="1:14" ht="16" customHeight="1" x14ac:dyDescent="0.2">
      <c r="A41" s="5" t="s">
        <v>3</v>
      </c>
      <c r="B41" s="5" t="s">
        <v>240</v>
      </c>
      <c r="C41" s="5" t="s">
        <v>241</v>
      </c>
      <c r="D41" s="5" t="s">
        <v>242</v>
      </c>
    </row>
    <row r="42" spans="1:14" ht="16" customHeight="1" x14ac:dyDescent="0.2">
      <c r="A42" s="6" t="s">
        <v>243</v>
      </c>
      <c r="B42" s="16"/>
      <c r="C42" s="16"/>
      <c r="D42" s="16"/>
    </row>
    <row r="43" spans="1:14" ht="16" customHeight="1" x14ac:dyDescent="0.2">
      <c r="A43" s="6" t="s">
        <v>244</v>
      </c>
      <c r="B43" s="16"/>
      <c r="C43" s="16"/>
      <c r="D43" s="16"/>
    </row>
    <row r="44" spans="1:14" ht="16" customHeight="1" x14ac:dyDescent="0.2">
      <c r="A44" s="6" t="s">
        <v>245</v>
      </c>
      <c r="B44" s="16"/>
      <c r="C44" s="16"/>
      <c r="D44" s="16"/>
    </row>
    <row r="45" spans="1:14" ht="16" customHeight="1" x14ac:dyDescent="0.2">
      <c r="A45" s="6" t="s">
        <v>246</v>
      </c>
      <c r="B45" s="16"/>
      <c r="C45" s="16"/>
      <c r="D45" s="16"/>
    </row>
    <row r="46" spans="1:14" ht="16" customHeight="1" x14ac:dyDescent="0.2">
      <c r="A46" s="6" t="s">
        <v>247</v>
      </c>
      <c r="B46" s="16"/>
      <c r="C46" s="16"/>
      <c r="D46" s="16"/>
    </row>
    <row r="47" spans="1:14" ht="16" customHeight="1" x14ac:dyDescent="0.2">
      <c r="A47" s="6" t="s">
        <v>248</v>
      </c>
      <c r="B47" s="21"/>
      <c r="C47" s="21"/>
      <c r="D47" s="21"/>
    </row>
    <row r="48" spans="1:14" ht="16" customHeight="1" x14ac:dyDescent="0.2">
      <c r="A48" s="6" t="s">
        <v>249</v>
      </c>
      <c r="B48" s="16"/>
      <c r="C48" s="16"/>
      <c r="D48" s="16"/>
    </row>
    <row r="49" spans="1:14" ht="16" customHeight="1" x14ac:dyDescent="0.2">
      <c r="A49" s="6" t="s">
        <v>250</v>
      </c>
      <c r="B49" s="16"/>
      <c r="C49" s="16"/>
      <c r="D49" s="16"/>
    </row>
    <row r="51" spans="1:14" x14ac:dyDescent="0.2">
      <c r="A51" s="66" t="s">
        <v>137</v>
      </c>
      <c r="B51" s="54"/>
      <c r="C51" s="54"/>
      <c r="D51" s="54"/>
      <c r="E51" s="54"/>
      <c r="F51" s="54"/>
      <c r="G51" s="54"/>
      <c r="H51" s="54"/>
      <c r="I51" s="54"/>
      <c r="J51" s="54"/>
      <c r="K51" s="54"/>
      <c r="L51" s="54"/>
      <c r="M51" s="54"/>
      <c r="N51" s="54"/>
    </row>
    <row r="52" spans="1:14" x14ac:dyDescent="0.2">
      <c r="A52" s="65" t="s">
        <v>251</v>
      </c>
      <c r="B52" s="62"/>
      <c r="C52" s="62"/>
      <c r="D52" s="62"/>
      <c r="E52" s="62"/>
      <c r="F52" s="62"/>
      <c r="G52" s="62"/>
      <c r="H52" s="62"/>
      <c r="I52" s="62"/>
      <c r="J52" s="62"/>
      <c r="K52" s="62"/>
      <c r="L52" s="62"/>
      <c r="M52" s="62"/>
      <c r="N52" s="63"/>
    </row>
    <row r="53" spans="1:14" ht="55" customHeight="1" x14ac:dyDescent="0.2">
      <c r="A53" s="61"/>
      <c r="B53" s="62"/>
      <c r="C53" s="62"/>
      <c r="D53" s="62"/>
      <c r="E53" s="62"/>
      <c r="F53" s="62"/>
      <c r="G53" s="62"/>
      <c r="H53" s="62"/>
      <c r="I53" s="62"/>
      <c r="J53" s="62"/>
      <c r="K53" s="62"/>
      <c r="L53" s="62"/>
      <c r="M53" s="62"/>
      <c r="N53" s="63"/>
    </row>
    <row r="54" spans="1:14" x14ac:dyDescent="0.2">
      <c r="A54" s="65" t="s">
        <v>252</v>
      </c>
      <c r="B54" s="62"/>
      <c r="C54" s="62"/>
      <c r="D54" s="62"/>
      <c r="E54" s="62"/>
      <c r="F54" s="62"/>
      <c r="G54" s="62"/>
      <c r="H54" s="62"/>
      <c r="I54" s="62"/>
      <c r="J54" s="62"/>
      <c r="K54" s="62"/>
      <c r="L54" s="62"/>
      <c r="M54" s="62"/>
      <c r="N54" s="63"/>
    </row>
    <row r="55" spans="1:14" ht="55" customHeight="1" x14ac:dyDescent="0.2">
      <c r="A55" s="61"/>
      <c r="B55" s="62"/>
      <c r="C55" s="62"/>
      <c r="D55" s="62"/>
      <c r="E55" s="62"/>
      <c r="F55" s="62"/>
      <c r="G55" s="62"/>
      <c r="H55" s="62"/>
      <c r="I55" s="62"/>
      <c r="J55" s="62"/>
      <c r="K55" s="62"/>
      <c r="L55" s="62"/>
      <c r="M55" s="62"/>
      <c r="N55" s="63"/>
    </row>
    <row r="56" spans="1:14" x14ac:dyDescent="0.2">
      <c r="A56" s="65" t="s">
        <v>253</v>
      </c>
      <c r="B56" s="62"/>
      <c r="C56" s="62"/>
      <c r="D56" s="62"/>
      <c r="E56" s="62"/>
      <c r="F56" s="62"/>
      <c r="G56" s="62"/>
      <c r="H56" s="62"/>
      <c r="I56" s="62"/>
      <c r="J56" s="62"/>
      <c r="K56" s="62"/>
      <c r="L56" s="62"/>
      <c r="M56" s="62"/>
      <c r="N56" s="63"/>
    </row>
    <row r="57" spans="1:14" ht="55" customHeight="1" x14ac:dyDescent="0.2">
      <c r="A57" s="61"/>
      <c r="B57" s="62"/>
      <c r="C57" s="62"/>
      <c r="D57" s="62"/>
      <c r="E57" s="62"/>
      <c r="F57" s="62"/>
      <c r="G57" s="62"/>
      <c r="H57" s="62"/>
      <c r="I57" s="62"/>
      <c r="J57" s="62"/>
      <c r="K57" s="62"/>
      <c r="L57" s="62"/>
      <c r="M57" s="62"/>
      <c r="N57" s="63"/>
    </row>
    <row r="58" spans="1:14" x14ac:dyDescent="0.2">
      <c r="A58" s="65" t="s">
        <v>254</v>
      </c>
      <c r="B58" s="62"/>
      <c r="C58" s="62"/>
      <c r="D58" s="62"/>
      <c r="E58" s="62"/>
      <c r="F58" s="62"/>
      <c r="G58" s="62"/>
      <c r="H58" s="62"/>
      <c r="I58" s="62"/>
      <c r="J58" s="62"/>
      <c r="K58" s="62"/>
      <c r="L58" s="62"/>
      <c r="M58" s="62"/>
      <c r="N58" s="63"/>
    </row>
    <row r="59" spans="1:14" ht="55" customHeight="1" x14ac:dyDescent="0.2">
      <c r="A59" s="61"/>
      <c r="B59" s="62"/>
      <c r="C59" s="62"/>
      <c r="D59" s="62"/>
      <c r="E59" s="62"/>
      <c r="F59" s="62"/>
      <c r="G59" s="62"/>
      <c r="H59" s="62"/>
      <c r="I59" s="62"/>
      <c r="J59" s="62"/>
      <c r="K59" s="62"/>
      <c r="L59" s="62"/>
      <c r="M59" s="62"/>
      <c r="N59" s="63"/>
    </row>
    <row r="60" spans="1:14" x14ac:dyDescent="0.2">
      <c r="A60" s="65" t="s">
        <v>255</v>
      </c>
      <c r="B60" s="62"/>
      <c r="C60" s="62"/>
      <c r="D60" s="62"/>
      <c r="E60" s="62"/>
      <c r="F60" s="62"/>
      <c r="G60" s="62"/>
      <c r="H60" s="62"/>
      <c r="I60" s="62"/>
      <c r="J60" s="62"/>
      <c r="K60" s="62"/>
      <c r="L60" s="62"/>
      <c r="M60" s="62"/>
      <c r="N60" s="63"/>
    </row>
    <row r="61" spans="1:14" ht="55" customHeight="1" x14ac:dyDescent="0.2">
      <c r="A61" s="61"/>
      <c r="B61" s="62"/>
      <c r="C61" s="62"/>
      <c r="D61" s="62"/>
      <c r="E61" s="62"/>
      <c r="F61" s="62"/>
      <c r="G61" s="62"/>
      <c r="H61" s="62"/>
      <c r="I61" s="62"/>
      <c r="J61" s="62"/>
      <c r="K61" s="62"/>
      <c r="L61" s="62"/>
      <c r="M61" s="62"/>
      <c r="N61" s="63"/>
    </row>
  </sheetData>
  <mergeCells count="16">
    <mergeCell ref="A40:N40"/>
    <mergeCell ref="A56:N56"/>
    <mergeCell ref="A3:N3"/>
    <mergeCell ref="A61:N61"/>
    <mergeCell ref="A53:N53"/>
    <mergeCell ref="A55:N55"/>
    <mergeCell ref="A12:N12"/>
    <mergeCell ref="A54:N54"/>
    <mergeCell ref="A29:N29"/>
    <mergeCell ref="A52:N52"/>
    <mergeCell ref="A59:N59"/>
    <mergeCell ref="A57:N57"/>
    <mergeCell ref="A60:N60"/>
    <mergeCell ref="A58:N58"/>
    <mergeCell ref="A51:N51"/>
    <mergeCell ref="A10:M1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39C12"/>
  </sheetPr>
  <dimension ref="A1:I45"/>
  <sheetViews>
    <sheetView workbookViewId="0"/>
  </sheetViews>
  <sheetFormatPr baseColWidth="10" defaultColWidth="8.83203125" defaultRowHeight="15" x14ac:dyDescent="0.2"/>
  <cols>
    <col min="1" max="1" width="32" customWidth="1"/>
    <col min="2" max="9" width="14" customWidth="1"/>
  </cols>
  <sheetData>
    <row r="1" spans="1:9" ht="17" customHeight="1" x14ac:dyDescent="0.2">
      <c r="A1" s="4" t="s">
        <v>256</v>
      </c>
    </row>
    <row r="3" spans="1:9" x14ac:dyDescent="0.2">
      <c r="A3" s="66" t="s">
        <v>257</v>
      </c>
      <c r="B3" s="54"/>
      <c r="C3" s="54"/>
      <c r="D3" s="54"/>
      <c r="E3" s="54"/>
      <c r="F3" s="54"/>
      <c r="G3" s="54"/>
      <c r="H3" s="54"/>
      <c r="I3" s="54"/>
    </row>
    <row r="4" spans="1:9" ht="32" customHeight="1" x14ac:dyDescent="0.2">
      <c r="A4" s="5" t="s">
        <v>90</v>
      </c>
      <c r="B4" s="5" t="s">
        <v>258</v>
      </c>
      <c r="C4" s="5" t="s">
        <v>259</v>
      </c>
      <c r="D4" s="5" t="s">
        <v>260</v>
      </c>
      <c r="E4" s="5" t="s">
        <v>261</v>
      </c>
      <c r="F4" s="5" t="s">
        <v>262</v>
      </c>
      <c r="G4" s="5" t="s">
        <v>263</v>
      </c>
      <c r="H4" s="5" t="s">
        <v>5</v>
      </c>
    </row>
    <row r="5" spans="1:9" ht="30" customHeight="1" x14ac:dyDescent="0.2">
      <c r="A5" s="6" t="s">
        <v>104</v>
      </c>
      <c r="B5" s="7">
        <v>4200</v>
      </c>
      <c r="C5" s="10">
        <v>494</v>
      </c>
      <c r="D5" s="7">
        <v>1500</v>
      </c>
      <c r="E5" s="16"/>
      <c r="F5" s="12"/>
      <c r="G5" s="20"/>
      <c r="H5" s="9" t="s">
        <v>264</v>
      </c>
    </row>
    <row r="6" spans="1:9" ht="45" customHeight="1" x14ac:dyDescent="0.2">
      <c r="A6" s="6" t="s">
        <v>105</v>
      </c>
      <c r="B6" s="7">
        <v>6800</v>
      </c>
      <c r="C6" s="10">
        <v>270</v>
      </c>
      <c r="D6" s="7">
        <v>2083</v>
      </c>
      <c r="E6" s="16"/>
      <c r="F6" s="12"/>
      <c r="G6" s="20"/>
      <c r="H6" s="9" t="s">
        <v>265</v>
      </c>
    </row>
    <row r="7" spans="1:9" ht="30" customHeight="1" x14ac:dyDescent="0.2">
      <c r="A7" s="6" t="s">
        <v>106</v>
      </c>
      <c r="B7" s="7">
        <v>8500</v>
      </c>
      <c r="C7" s="10">
        <v>180</v>
      </c>
      <c r="D7" s="7">
        <v>1800</v>
      </c>
      <c r="E7" s="16"/>
      <c r="F7" s="12"/>
      <c r="G7" s="20"/>
      <c r="H7" s="9" t="s">
        <v>266</v>
      </c>
    </row>
    <row r="8" spans="1:9" ht="30" customHeight="1" x14ac:dyDescent="0.2">
      <c r="A8" s="6" t="s">
        <v>107</v>
      </c>
      <c r="B8" s="7">
        <v>3200</v>
      </c>
      <c r="C8" s="10">
        <v>170</v>
      </c>
      <c r="D8" s="7">
        <v>1350</v>
      </c>
      <c r="E8" s="16"/>
      <c r="F8" s="12"/>
      <c r="G8" s="20"/>
      <c r="H8" s="9" t="s">
        <v>267</v>
      </c>
    </row>
    <row r="9" spans="1:9" ht="30" customHeight="1" x14ac:dyDescent="0.2">
      <c r="A9" s="6" t="s">
        <v>108</v>
      </c>
      <c r="B9" s="7">
        <v>5100</v>
      </c>
      <c r="C9" s="10">
        <v>152</v>
      </c>
      <c r="D9" s="7">
        <v>750</v>
      </c>
      <c r="E9" s="16"/>
      <c r="F9" s="12"/>
      <c r="G9" s="20"/>
      <c r="H9" s="9" t="s">
        <v>268</v>
      </c>
    </row>
    <row r="10" spans="1:9" ht="16" customHeight="1" x14ac:dyDescent="0.2">
      <c r="A10" s="6" t="s">
        <v>269</v>
      </c>
      <c r="B10" s="7">
        <v>2400</v>
      </c>
      <c r="C10" s="10">
        <v>100</v>
      </c>
      <c r="D10" s="7">
        <v>600</v>
      </c>
      <c r="E10" s="16"/>
      <c r="F10" s="12"/>
      <c r="G10" s="20"/>
      <c r="H10" s="9" t="s">
        <v>270</v>
      </c>
    </row>
    <row r="11" spans="1:9" ht="30" customHeight="1" x14ac:dyDescent="0.2">
      <c r="A11" s="6" t="s">
        <v>109</v>
      </c>
      <c r="B11" s="7">
        <v>42000</v>
      </c>
      <c r="C11" s="10">
        <v>10</v>
      </c>
      <c r="D11" s="7">
        <v>13500</v>
      </c>
      <c r="E11" s="16"/>
      <c r="F11" s="12"/>
      <c r="G11" s="20"/>
      <c r="H11" s="9" t="s">
        <v>271</v>
      </c>
    </row>
    <row r="12" spans="1:9" ht="16" customHeight="1" x14ac:dyDescent="0.2">
      <c r="A12" s="6" t="s">
        <v>110</v>
      </c>
      <c r="E12" s="16"/>
    </row>
    <row r="14" spans="1:9" x14ac:dyDescent="0.2">
      <c r="A14" s="66" t="s">
        <v>272</v>
      </c>
      <c r="B14" s="54"/>
      <c r="C14" s="54"/>
      <c r="D14" s="54"/>
      <c r="E14" s="54"/>
      <c r="F14" s="54"/>
      <c r="G14" s="54"/>
      <c r="H14" s="54"/>
      <c r="I14" s="54"/>
    </row>
    <row r="15" spans="1:9" ht="32" customHeight="1" x14ac:dyDescent="0.2">
      <c r="A15" s="5" t="s">
        <v>90</v>
      </c>
      <c r="B15" s="5" t="s">
        <v>273</v>
      </c>
      <c r="C15" s="5" t="s">
        <v>274</v>
      </c>
      <c r="D15" s="5" t="s">
        <v>275</v>
      </c>
      <c r="E15" s="5" t="s">
        <v>276</v>
      </c>
      <c r="F15" s="5" t="s">
        <v>277</v>
      </c>
      <c r="G15" s="5" t="s">
        <v>278</v>
      </c>
    </row>
    <row r="16" spans="1:9" ht="16" customHeight="1" x14ac:dyDescent="0.2">
      <c r="A16" s="6" t="s">
        <v>104</v>
      </c>
      <c r="B16" s="7">
        <v>1500</v>
      </c>
      <c r="C16" s="7">
        <v>1200</v>
      </c>
      <c r="D16" s="7">
        <v>800</v>
      </c>
      <c r="E16" s="7">
        <v>400</v>
      </c>
      <c r="F16" s="7">
        <v>300</v>
      </c>
      <c r="G16" s="13"/>
    </row>
    <row r="17" spans="1:9" ht="16" customHeight="1" x14ac:dyDescent="0.2">
      <c r="A17" s="6" t="s">
        <v>105</v>
      </c>
      <c r="B17" s="7">
        <v>2800</v>
      </c>
      <c r="C17" s="7">
        <v>2000</v>
      </c>
      <c r="D17" s="7">
        <v>1200</v>
      </c>
      <c r="E17" s="7">
        <v>500</v>
      </c>
      <c r="F17" s="7">
        <v>300</v>
      </c>
      <c r="G17" s="13"/>
    </row>
    <row r="18" spans="1:9" ht="16" customHeight="1" x14ac:dyDescent="0.2">
      <c r="A18" s="6" t="s">
        <v>106</v>
      </c>
      <c r="B18" s="7">
        <v>2200</v>
      </c>
      <c r="C18" s="7">
        <v>1800</v>
      </c>
      <c r="D18" s="7">
        <v>1500</v>
      </c>
      <c r="E18" s="7">
        <v>1400</v>
      </c>
      <c r="F18" s="7">
        <v>1600</v>
      </c>
      <c r="G18" s="13"/>
    </row>
    <row r="19" spans="1:9" ht="16" customHeight="1" x14ac:dyDescent="0.2">
      <c r="A19" s="6" t="s">
        <v>107</v>
      </c>
      <c r="B19" s="7">
        <v>1400</v>
      </c>
      <c r="C19" s="7">
        <v>1000</v>
      </c>
      <c r="D19" s="7">
        <v>500</v>
      </c>
      <c r="E19" s="7">
        <v>200</v>
      </c>
      <c r="F19" s="7">
        <v>100</v>
      </c>
      <c r="G19" s="13"/>
    </row>
    <row r="20" spans="1:9" ht="16" customHeight="1" x14ac:dyDescent="0.2">
      <c r="A20" s="6" t="s">
        <v>108</v>
      </c>
      <c r="B20" s="7">
        <v>800</v>
      </c>
      <c r="C20" s="7">
        <v>900</v>
      </c>
      <c r="D20" s="7">
        <v>1000</v>
      </c>
      <c r="E20" s="7">
        <v>1200</v>
      </c>
      <c r="F20" s="7">
        <v>1200</v>
      </c>
      <c r="G20" s="13"/>
    </row>
    <row r="21" spans="1:9" ht="16" customHeight="1" x14ac:dyDescent="0.2">
      <c r="A21" s="6" t="s">
        <v>269</v>
      </c>
      <c r="B21" s="7">
        <v>800</v>
      </c>
      <c r="C21" s="7">
        <v>700</v>
      </c>
      <c r="D21" s="7">
        <v>500</v>
      </c>
      <c r="E21" s="7">
        <v>250</v>
      </c>
      <c r="F21" s="7">
        <v>150</v>
      </c>
      <c r="G21" s="13"/>
    </row>
    <row r="22" spans="1:9" ht="16" customHeight="1" x14ac:dyDescent="0.2">
      <c r="A22" s="6" t="s">
        <v>109</v>
      </c>
      <c r="B22" s="7">
        <v>18000</v>
      </c>
      <c r="C22" s="7">
        <v>12000</v>
      </c>
      <c r="D22" s="7">
        <v>8000</v>
      </c>
      <c r="E22" s="7">
        <v>3000</v>
      </c>
      <c r="F22" s="7">
        <v>1000</v>
      </c>
      <c r="G22" s="13"/>
    </row>
    <row r="24" spans="1:9" x14ac:dyDescent="0.2">
      <c r="A24" s="66" t="s">
        <v>279</v>
      </c>
      <c r="B24" s="54"/>
      <c r="C24" s="54"/>
      <c r="D24" s="54"/>
      <c r="E24" s="54"/>
      <c r="F24" s="54"/>
      <c r="G24" s="54"/>
      <c r="H24" s="54"/>
      <c r="I24" s="54"/>
    </row>
    <row r="25" spans="1:9" ht="64" customHeight="1" x14ac:dyDescent="0.2">
      <c r="A25" s="5" t="s">
        <v>90</v>
      </c>
      <c r="B25" s="5" t="s">
        <v>280</v>
      </c>
      <c r="C25" s="5" t="s">
        <v>281</v>
      </c>
      <c r="D25" s="5" t="s">
        <v>282</v>
      </c>
      <c r="E25" s="5" t="s">
        <v>283</v>
      </c>
      <c r="F25" s="5" t="s">
        <v>284</v>
      </c>
      <c r="G25" s="5" t="s">
        <v>285</v>
      </c>
    </row>
    <row r="26" spans="1:9" ht="16" customHeight="1" x14ac:dyDescent="0.2">
      <c r="A26" s="6" t="s">
        <v>104</v>
      </c>
      <c r="B26" s="19"/>
      <c r="C26" s="16"/>
      <c r="D26" s="14"/>
      <c r="E26" s="14"/>
      <c r="F26" s="12"/>
      <c r="G26" s="16"/>
    </row>
    <row r="27" spans="1:9" ht="16" customHeight="1" x14ac:dyDescent="0.2">
      <c r="A27" s="6" t="s">
        <v>105</v>
      </c>
      <c r="B27" s="19"/>
      <c r="C27" s="16"/>
      <c r="D27" s="14"/>
      <c r="E27" s="14"/>
      <c r="F27" s="12"/>
      <c r="G27" s="16"/>
    </row>
    <row r="28" spans="1:9" ht="16" customHeight="1" x14ac:dyDescent="0.2">
      <c r="A28" s="6" t="s">
        <v>106</v>
      </c>
      <c r="B28" s="19"/>
      <c r="C28" s="16"/>
      <c r="D28" s="14"/>
      <c r="E28" s="14"/>
      <c r="F28" s="12"/>
      <c r="G28" s="16"/>
    </row>
    <row r="29" spans="1:9" ht="16" customHeight="1" x14ac:dyDescent="0.2">
      <c r="A29" s="6" t="s">
        <v>107</v>
      </c>
      <c r="B29" s="19"/>
      <c r="C29" s="16"/>
      <c r="D29" s="14"/>
      <c r="E29" s="14"/>
      <c r="F29" s="12"/>
      <c r="G29" s="16"/>
    </row>
    <row r="30" spans="1:9" ht="16" customHeight="1" x14ac:dyDescent="0.2">
      <c r="A30" s="6" t="s">
        <v>108</v>
      </c>
      <c r="B30" s="19"/>
      <c r="C30" s="16"/>
      <c r="D30" s="14"/>
      <c r="E30" s="14"/>
      <c r="F30" s="12"/>
      <c r="G30" s="16"/>
    </row>
    <row r="31" spans="1:9" ht="16" customHeight="1" x14ac:dyDescent="0.2">
      <c r="A31" s="6" t="s">
        <v>269</v>
      </c>
      <c r="B31" s="19"/>
      <c r="C31" s="16"/>
      <c r="D31" s="14"/>
      <c r="E31" s="14"/>
      <c r="F31" s="12"/>
      <c r="G31" s="16"/>
    </row>
    <row r="32" spans="1:9" ht="16" customHeight="1" x14ac:dyDescent="0.2">
      <c r="A32" s="6" t="s">
        <v>109</v>
      </c>
      <c r="B32" s="19"/>
      <c r="C32" s="16"/>
      <c r="D32" s="14"/>
      <c r="E32" s="14"/>
      <c r="F32" s="12"/>
      <c r="G32" s="16"/>
    </row>
    <row r="33" spans="1:9" ht="16" customHeight="1" x14ac:dyDescent="0.2">
      <c r="A33" s="6" t="s">
        <v>286</v>
      </c>
      <c r="G33" s="16"/>
    </row>
    <row r="35" spans="1:9" x14ac:dyDescent="0.2">
      <c r="A35" s="66" t="s">
        <v>66</v>
      </c>
      <c r="B35" s="54"/>
      <c r="C35" s="54"/>
      <c r="D35" s="54"/>
      <c r="E35" s="54"/>
      <c r="F35" s="54"/>
      <c r="G35" s="54"/>
      <c r="H35" s="54"/>
      <c r="I35" s="54"/>
    </row>
    <row r="36" spans="1:9" x14ac:dyDescent="0.2">
      <c r="A36" s="65" t="s">
        <v>287</v>
      </c>
      <c r="B36" s="62"/>
      <c r="C36" s="62"/>
      <c r="D36" s="62"/>
      <c r="E36" s="62"/>
      <c r="F36" s="62"/>
      <c r="G36" s="62"/>
      <c r="H36" s="63"/>
    </row>
    <row r="37" spans="1:9" ht="55" customHeight="1" x14ac:dyDescent="0.2">
      <c r="A37" s="61"/>
      <c r="B37" s="62"/>
      <c r="C37" s="62"/>
      <c r="D37" s="62"/>
      <c r="E37" s="62"/>
      <c r="F37" s="62"/>
      <c r="G37" s="62"/>
      <c r="H37" s="63"/>
    </row>
    <row r="38" spans="1:9" x14ac:dyDescent="0.2">
      <c r="A38" s="65" t="s">
        <v>288</v>
      </c>
      <c r="B38" s="62"/>
      <c r="C38" s="62"/>
      <c r="D38" s="62"/>
      <c r="E38" s="62"/>
      <c r="F38" s="62"/>
      <c r="G38" s="62"/>
      <c r="H38" s="63"/>
    </row>
    <row r="39" spans="1:9" ht="55" customHeight="1" x14ac:dyDescent="0.2">
      <c r="A39" s="61"/>
      <c r="B39" s="62"/>
      <c r="C39" s="62"/>
      <c r="D39" s="62"/>
      <c r="E39" s="62"/>
      <c r="F39" s="62"/>
      <c r="G39" s="62"/>
      <c r="H39" s="63"/>
    </row>
    <row r="40" spans="1:9" x14ac:dyDescent="0.2">
      <c r="A40" s="65" t="s">
        <v>289</v>
      </c>
      <c r="B40" s="62"/>
      <c r="C40" s="62"/>
      <c r="D40" s="62"/>
      <c r="E40" s="62"/>
      <c r="F40" s="62"/>
      <c r="G40" s="62"/>
      <c r="H40" s="63"/>
    </row>
    <row r="41" spans="1:9" ht="55" customHeight="1" x14ac:dyDescent="0.2">
      <c r="A41" s="61"/>
      <c r="B41" s="62"/>
      <c r="C41" s="62"/>
      <c r="D41" s="62"/>
      <c r="E41" s="62"/>
      <c r="F41" s="62"/>
      <c r="G41" s="62"/>
      <c r="H41" s="63"/>
    </row>
    <row r="42" spans="1:9" x14ac:dyDescent="0.2">
      <c r="A42" s="65" t="s">
        <v>290</v>
      </c>
      <c r="B42" s="62"/>
      <c r="C42" s="62"/>
      <c r="D42" s="62"/>
      <c r="E42" s="62"/>
      <c r="F42" s="62"/>
      <c r="G42" s="62"/>
      <c r="H42" s="63"/>
    </row>
    <row r="43" spans="1:9" ht="55" customHeight="1" x14ac:dyDescent="0.2">
      <c r="A43" s="61"/>
      <c r="B43" s="62"/>
      <c r="C43" s="62"/>
      <c r="D43" s="62"/>
      <c r="E43" s="62"/>
      <c r="F43" s="62"/>
      <c r="G43" s="62"/>
      <c r="H43" s="63"/>
    </row>
    <row r="44" spans="1:9" x14ac:dyDescent="0.2">
      <c r="A44" s="65" t="s">
        <v>291</v>
      </c>
      <c r="B44" s="62"/>
      <c r="C44" s="62"/>
      <c r="D44" s="62"/>
      <c r="E44" s="62"/>
      <c r="F44" s="62"/>
      <c r="G44" s="62"/>
      <c r="H44" s="63"/>
    </row>
    <row r="45" spans="1:9" ht="55" customHeight="1" x14ac:dyDescent="0.2">
      <c r="A45" s="61"/>
      <c r="B45" s="62"/>
      <c r="C45" s="62"/>
      <c r="D45" s="62"/>
      <c r="E45" s="62"/>
      <c r="F45" s="62"/>
      <c r="G45" s="62"/>
      <c r="H45" s="63"/>
    </row>
  </sheetData>
  <mergeCells count="14">
    <mergeCell ref="A3:I3"/>
    <mergeCell ref="A44:H44"/>
    <mergeCell ref="A45:H45"/>
    <mergeCell ref="A37:H37"/>
    <mergeCell ref="A35:I35"/>
    <mergeCell ref="A24:I24"/>
    <mergeCell ref="A40:H40"/>
    <mergeCell ref="A39:H39"/>
    <mergeCell ref="A43:H43"/>
    <mergeCell ref="A38:H38"/>
    <mergeCell ref="A14:I14"/>
    <mergeCell ref="A42:H42"/>
    <mergeCell ref="A41:H41"/>
    <mergeCell ref="A36:H3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980B9"/>
  </sheetPr>
  <dimension ref="A1:G58"/>
  <sheetViews>
    <sheetView workbookViewId="0"/>
  </sheetViews>
  <sheetFormatPr baseColWidth="10" defaultColWidth="8.83203125" defaultRowHeight="15" x14ac:dyDescent="0.2"/>
  <cols>
    <col min="1" max="1" width="36" customWidth="1"/>
    <col min="2" max="6" width="15" customWidth="1"/>
    <col min="7" max="7" width="18" customWidth="1"/>
  </cols>
  <sheetData>
    <row r="1" spans="1:7" ht="17" customHeight="1" x14ac:dyDescent="0.2">
      <c r="A1" s="4" t="s">
        <v>292</v>
      </c>
    </row>
    <row r="3" spans="1:7" x14ac:dyDescent="0.2">
      <c r="A3" s="66" t="s">
        <v>293</v>
      </c>
      <c r="B3" s="54"/>
      <c r="C3" s="54"/>
      <c r="D3" s="54"/>
      <c r="E3" s="54"/>
      <c r="F3" s="54"/>
      <c r="G3" s="54"/>
    </row>
    <row r="4" spans="1:7" ht="16" customHeight="1" x14ac:dyDescent="0.2">
      <c r="A4" s="5" t="s">
        <v>3</v>
      </c>
      <c r="B4" s="5" t="s">
        <v>294</v>
      </c>
      <c r="C4" s="5" t="s">
        <v>295</v>
      </c>
      <c r="D4" s="5" t="s">
        <v>296</v>
      </c>
      <c r="E4" s="5" t="s">
        <v>297</v>
      </c>
      <c r="F4" s="5" t="s">
        <v>298</v>
      </c>
    </row>
    <row r="5" spans="1:7" ht="16" customHeight="1" x14ac:dyDescent="0.2">
      <c r="A5" s="6" t="s">
        <v>299</v>
      </c>
      <c r="B5" s="7">
        <v>48000</v>
      </c>
      <c r="C5" s="7">
        <v>38000</v>
      </c>
      <c r="D5" s="7">
        <v>12000</v>
      </c>
      <c r="E5" s="7">
        <v>4500</v>
      </c>
      <c r="F5" s="12"/>
    </row>
    <row r="6" spans="1:7" ht="16" customHeight="1" x14ac:dyDescent="0.2">
      <c r="A6" s="6" t="s">
        <v>300</v>
      </c>
      <c r="B6" s="10">
        <v>682</v>
      </c>
      <c r="C6" s="10">
        <v>542</v>
      </c>
      <c r="D6" s="10">
        <v>449</v>
      </c>
      <c r="E6" s="10">
        <v>895</v>
      </c>
      <c r="F6" s="16"/>
    </row>
    <row r="7" spans="1:7" ht="16" customHeight="1" x14ac:dyDescent="0.2">
      <c r="A7" s="6" t="s">
        <v>301</v>
      </c>
      <c r="B7" s="16"/>
      <c r="C7" s="16"/>
      <c r="D7" s="16"/>
      <c r="E7" s="16"/>
      <c r="F7" s="16"/>
    </row>
    <row r="8" spans="1:7" ht="16" customHeight="1" x14ac:dyDescent="0.2">
      <c r="A8" s="6" t="s">
        <v>121</v>
      </c>
      <c r="B8" s="11">
        <v>8.5000000000000006E-2</v>
      </c>
      <c r="C8" s="11">
        <v>0.15</v>
      </c>
      <c r="D8" s="11">
        <v>0.28000000000000003</v>
      </c>
      <c r="E8" s="11">
        <v>0.03</v>
      </c>
      <c r="F8" s="21"/>
    </row>
    <row r="9" spans="1:7" ht="16" customHeight="1" x14ac:dyDescent="0.2">
      <c r="A9" s="6" t="s">
        <v>302</v>
      </c>
      <c r="B9" s="12"/>
      <c r="C9" s="12"/>
      <c r="D9" s="12"/>
      <c r="E9" s="12"/>
      <c r="F9" s="12"/>
    </row>
    <row r="10" spans="1:7" ht="16" customHeight="1" x14ac:dyDescent="0.2">
      <c r="A10" s="6" t="s">
        <v>303</v>
      </c>
      <c r="B10" s="12"/>
      <c r="C10" s="12"/>
      <c r="D10" s="12"/>
      <c r="E10" s="12"/>
      <c r="F10" s="12"/>
    </row>
    <row r="11" spans="1:7" ht="16" customHeight="1" x14ac:dyDescent="0.2">
      <c r="A11" s="6" t="s">
        <v>304</v>
      </c>
      <c r="B11" s="16"/>
      <c r="C11" s="16"/>
      <c r="D11" s="16"/>
      <c r="E11" s="16"/>
      <c r="F11" s="16"/>
    </row>
    <row r="13" spans="1:7" x14ac:dyDescent="0.2">
      <c r="A13" s="66" t="s">
        <v>305</v>
      </c>
      <c r="B13" s="54"/>
      <c r="C13" s="54"/>
      <c r="D13" s="54"/>
      <c r="E13" s="54"/>
      <c r="F13" s="54"/>
      <c r="G13" s="54"/>
    </row>
    <row r="14" spans="1:7" ht="16" customHeight="1" x14ac:dyDescent="0.2">
      <c r="A14" s="5" t="s">
        <v>306</v>
      </c>
      <c r="B14" s="5" t="s">
        <v>294</v>
      </c>
      <c r="C14" s="5" t="s">
        <v>295</v>
      </c>
      <c r="D14" s="5" t="s">
        <v>296</v>
      </c>
      <c r="E14" s="5" t="s">
        <v>297</v>
      </c>
      <c r="F14" s="5" t="s">
        <v>5</v>
      </c>
    </row>
    <row r="15" spans="1:7" ht="30" customHeight="1" x14ac:dyDescent="0.2">
      <c r="A15" s="6" t="s">
        <v>307</v>
      </c>
      <c r="B15" s="11">
        <v>0.32</v>
      </c>
      <c r="C15" s="11">
        <v>0.32</v>
      </c>
      <c r="D15" s="11">
        <v>0.32</v>
      </c>
      <c r="E15" s="11">
        <v>0.32</v>
      </c>
      <c r="F15" s="9" t="s">
        <v>308</v>
      </c>
    </row>
    <row r="16" spans="1:7" ht="30" customHeight="1" x14ac:dyDescent="0.2">
      <c r="A16" s="6" t="s">
        <v>309</v>
      </c>
      <c r="B16" s="10">
        <v>8.1999999999999993</v>
      </c>
      <c r="C16" s="10">
        <v>0</v>
      </c>
      <c r="D16" s="10">
        <v>3.1</v>
      </c>
      <c r="E16" s="10">
        <v>0</v>
      </c>
      <c r="F16" s="9" t="s">
        <v>310</v>
      </c>
    </row>
    <row r="17" spans="1:7" ht="30" customHeight="1" x14ac:dyDescent="0.2">
      <c r="A17" s="6" t="s">
        <v>311</v>
      </c>
      <c r="B17" s="11">
        <v>0</v>
      </c>
      <c r="C17" s="11">
        <v>0.15</v>
      </c>
      <c r="D17" s="11">
        <v>0</v>
      </c>
      <c r="E17" s="11">
        <v>0</v>
      </c>
      <c r="F17" s="9" t="s">
        <v>312</v>
      </c>
    </row>
    <row r="18" spans="1:7" ht="45" customHeight="1" x14ac:dyDescent="0.2">
      <c r="A18" s="6" t="s">
        <v>313</v>
      </c>
      <c r="B18" s="11">
        <v>0</v>
      </c>
      <c r="C18" s="11">
        <v>0</v>
      </c>
      <c r="D18" s="11">
        <v>0.35</v>
      </c>
      <c r="E18" s="11">
        <v>0.25</v>
      </c>
      <c r="F18" s="9" t="s">
        <v>314</v>
      </c>
    </row>
    <row r="19" spans="1:7" ht="30" customHeight="1" x14ac:dyDescent="0.2">
      <c r="A19" s="6" t="s">
        <v>315</v>
      </c>
      <c r="B19" s="10">
        <v>21.6</v>
      </c>
      <c r="C19" s="10">
        <v>11.8</v>
      </c>
      <c r="D19" s="10">
        <v>18.3</v>
      </c>
      <c r="E19" s="10">
        <v>0</v>
      </c>
      <c r="F19" s="9" t="s">
        <v>316</v>
      </c>
    </row>
    <row r="20" spans="1:7" ht="45" customHeight="1" x14ac:dyDescent="0.2">
      <c r="A20" s="6" t="s">
        <v>317</v>
      </c>
      <c r="B20" s="11">
        <v>0.22</v>
      </c>
      <c r="C20" s="11">
        <v>0.18</v>
      </c>
      <c r="D20" s="11">
        <v>0.03</v>
      </c>
      <c r="E20" s="11">
        <v>0.05</v>
      </c>
      <c r="F20" s="9" t="s">
        <v>318</v>
      </c>
    </row>
    <row r="21" spans="1:7" ht="30" customHeight="1" x14ac:dyDescent="0.2">
      <c r="A21" s="6" t="s">
        <v>319</v>
      </c>
      <c r="B21" s="10">
        <v>0.55000000000000004</v>
      </c>
      <c r="C21" s="10">
        <v>0.4</v>
      </c>
      <c r="D21" s="10">
        <v>0.25</v>
      </c>
      <c r="E21" s="10">
        <v>0.75</v>
      </c>
      <c r="F21" s="9" t="s">
        <v>320</v>
      </c>
    </row>
    <row r="22" spans="1:7" ht="30" customHeight="1" x14ac:dyDescent="0.2">
      <c r="A22" s="6" t="s">
        <v>321</v>
      </c>
      <c r="B22" s="10">
        <v>71</v>
      </c>
      <c r="C22" s="10">
        <v>54</v>
      </c>
      <c r="D22" s="10">
        <v>47</v>
      </c>
      <c r="E22" s="10">
        <v>183</v>
      </c>
      <c r="F22" s="9" t="s">
        <v>322</v>
      </c>
    </row>
    <row r="24" spans="1:7" x14ac:dyDescent="0.2">
      <c r="A24" s="66" t="s">
        <v>323</v>
      </c>
      <c r="B24" s="54"/>
      <c r="C24" s="54"/>
      <c r="D24" s="54"/>
      <c r="E24" s="54"/>
      <c r="F24" s="54"/>
      <c r="G24" s="54"/>
    </row>
    <row r="25" spans="1:7" ht="16" customHeight="1" x14ac:dyDescent="0.2">
      <c r="A25" s="5" t="s">
        <v>324</v>
      </c>
      <c r="B25" s="5" t="s">
        <v>294</v>
      </c>
      <c r="C25" s="5" t="s">
        <v>295</v>
      </c>
      <c r="D25" s="5" t="s">
        <v>296</v>
      </c>
      <c r="E25" s="5" t="s">
        <v>297</v>
      </c>
      <c r="F25" s="5" t="s">
        <v>298</v>
      </c>
    </row>
    <row r="26" spans="1:7" ht="16" customHeight="1" x14ac:dyDescent="0.2">
      <c r="A26" s="6" t="s">
        <v>304</v>
      </c>
      <c r="B26" s="16"/>
      <c r="C26" s="16"/>
      <c r="D26" s="16"/>
      <c r="E26" s="16"/>
      <c r="F26" s="16"/>
    </row>
    <row r="27" spans="1:7" ht="16" customHeight="1" x14ac:dyDescent="0.2">
      <c r="A27" s="6" t="s">
        <v>325</v>
      </c>
      <c r="B27" s="16"/>
      <c r="C27" s="16"/>
      <c r="D27" s="16"/>
      <c r="E27" s="16"/>
      <c r="F27" s="16"/>
    </row>
    <row r="28" spans="1:7" ht="16" customHeight="1" x14ac:dyDescent="0.2">
      <c r="A28" s="6" t="s">
        <v>326</v>
      </c>
      <c r="B28" s="16"/>
      <c r="C28" s="16"/>
      <c r="D28" s="16"/>
      <c r="E28" s="16"/>
      <c r="F28" s="16"/>
    </row>
    <row r="29" spans="1:7" ht="16" customHeight="1" x14ac:dyDescent="0.2">
      <c r="A29" s="6" t="s">
        <v>327</v>
      </c>
      <c r="B29" s="21"/>
      <c r="C29" s="21"/>
      <c r="D29" s="21"/>
      <c r="E29" s="21"/>
      <c r="F29" s="21"/>
    </row>
    <row r="31" spans="1:7" ht="16" customHeight="1" x14ac:dyDescent="0.2">
      <c r="A31" s="6" t="s">
        <v>328</v>
      </c>
      <c r="B31" s="16"/>
      <c r="C31" s="16"/>
      <c r="D31" s="16"/>
      <c r="E31" s="16"/>
      <c r="F31" s="16"/>
    </row>
    <row r="32" spans="1:7" ht="16" customHeight="1" x14ac:dyDescent="0.2">
      <c r="A32" s="6" t="s">
        <v>329</v>
      </c>
      <c r="B32" s="16"/>
      <c r="C32" s="16"/>
      <c r="D32" s="16"/>
      <c r="E32" s="16"/>
      <c r="F32" s="16"/>
    </row>
    <row r="33" spans="1:7" ht="16" customHeight="1" x14ac:dyDescent="0.2">
      <c r="A33" s="6" t="s">
        <v>330</v>
      </c>
      <c r="B33" s="16"/>
      <c r="C33" s="16"/>
      <c r="D33" s="16"/>
      <c r="E33" s="16"/>
      <c r="F33" s="16"/>
    </row>
    <row r="34" spans="1:7" ht="16" customHeight="1" x14ac:dyDescent="0.2">
      <c r="A34" s="6" t="s">
        <v>331</v>
      </c>
      <c r="B34" s="16"/>
      <c r="C34" s="16"/>
      <c r="D34" s="16"/>
      <c r="E34" s="16"/>
      <c r="F34" s="16"/>
    </row>
    <row r="35" spans="1:7" ht="16" customHeight="1" x14ac:dyDescent="0.2">
      <c r="A35" s="6" t="s">
        <v>332</v>
      </c>
      <c r="B35" s="16"/>
      <c r="C35" s="16"/>
      <c r="D35" s="16"/>
      <c r="E35" s="16"/>
      <c r="F35" s="16"/>
    </row>
    <row r="36" spans="1:7" ht="16" customHeight="1" x14ac:dyDescent="0.2">
      <c r="A36" s="6" t="s">
        <v>333</v>
      </c>
      <c r="B36" s="16"/>
      <c r="C36" s="16"/>
      <c r="D36" s="16"/>
      <c r="E36" s="16"/>
      <c r="F36" s="16"/>
    </row>
    <row r="37" spans="1:7" ht="16" customHeight="1" x14ac:dyDescent="0.2">
      <c r="A37" s="6" t="s">
        <v>334</v>
      </c>
      <c r="B37" s="16"/>
      <c r="C37" s="16"/>
      <c r="D37" s="16"/>
      <c r="E37" s="16"/>
      <c r="F37" s="16"/>
    </row>
    <row r="39" spans="1:7" ht="16" customHeight="1" x14ac:dyDescent="0.2">
      <c r="A39" s="6" t="s">
        <v>335</v>
      </c>
      <c r="B39" s="16"/>
      <c r="C39" s="16"/>
      <c r="D39" s="16"/>
      <c r="E39" s="16"/>
      <c r="F39" s="16"/>
    </row>
    <row r="40" spans="1:7" ht="16" customHeight="1" x14ac:dyDescent="0.2">
      <c r="A40" s="6" t="s">
        <v>336</v>
      </c>
      <c r="B40" s="21"/>
      <c r="C40" s="21"/>
      <c r="D40" s="21"/>
      <c r="E40" s="21"/>
      <c r="F40" s="21"/>
    </row>
    <row r="42" spans="1:7" ht="16" customHeight="1" x14ac:dyDescent="0.2">
      <c r="A42" s="6" t="s">
        <v>337</v>
      </c>
      <c r="B42" s="16"/>
      <c r="C42" s="16"/>
      <c r="D42" s="16"/>
      <c r="E42" s="16"/>
      <c r="F42" s="16"/>
    </row>
    <row r="43" spans="1:7" ht="16" customHeight="1" x14ac:dyDescent="0.2">
      <c r="A43" s="6" t="s">
        <v>338</v>
      </c>
      <c r="B43" s="16"/>
      <c r="C43" s="16"/>
      <c r="D43" s="16"/>
      <c r="E43" s="16"/>
      <c r="F43" s="16"/>
    </row>
    <row r="44" spans="1:7" ht="16" customHeight="1" x14ac:dyDescent="0.2">
      <c r="A44" s="6" t="s">
        <v>339</v>
      </c>
      <c r="B44" s="16"/>
      <c r="C44" s="16"/>
      <c r="D44" s="16"/>
      <c r="E44" s="16"/>
      <c r="F44" s="16"/>
    </row>
    <row r="46" spans="1:7" x14ac:dyDescent="0.2">
      <c r="A46" s="66" t="s">
        <v>340</v>
      </c>
      <c r="B46" s="54"/>
      <c r="C46" s="54"/>
      <c r="D46" s="54"/>
      <c r="E46" s="54"/>
      <c r="F46" s="54"/>
      <c r="G46" s="54"/>
    </row>
    <row r="47" spans="1:7" x14ac:dyDescent="0.2">
      <c r="A47" s="65" t="s">
        <v>341</v>
      </c>
      <c r="B47" s="62"/>
      <c r="C47" s="62"/>
      <c r="D47" s="62"/>
      <c r="E47" s="62"/>
      <c r="F47" s="62"/>
      <c r="G47" s="63"/>
    </row>
    <row r="48" spans="1:7" ht="55" customHeight="1" x14ac:dyDescent="0.2">
      <c r="A48" s="61"/>
      <c r="B48" s="62"/>
      <c r="C48" s="62"/>
      <c r="D48" s="62"/>
      <c r="E48" s="62"/>
      <c r="F48" s="62"/>
      <c r="G48" s="63"/>
    </row>
    <row r="49" spans="1:7" x14ac:dyDescent="0.2">
      <c r="A49" s="65" t="s">
        <v>342</v>
      </c>
      <c r="B49" s="62"/>
      <c r="C49" s="62"/>
      <c r="D49" s="62"/>
      <c r="E49" s="62"/>
      <c r="F49" s="62"/>
      <c r="G49" s="63"/>
    </row>
    <row r="50" spans="1:7" ht="55" customHeight="1" x14ac:dyDescent="0.2">
      <c r="A50" s="61"/>
      <c r="B50" s="62"/>
      <c r="C50" s="62"/>
      <c r="D50" s="62"/>
      <c r="E50" s="62"/>
      <c r="F50" s="62"/>
      <c r="G50" s="63"/>
    </row>
    <row r="51" spans="1:7" x14ac:dyDescent="0.2">
      <c r="A51" s="65" t="s">
        <v>343</v>
      </c>
      <c r="B51" s="62"/>
      <c r="C51" s="62"/>
      <c r="D51" s="62"/>
      <c r="E51" s="62"/>
      <c r="F51" s="62"/>
      <c r="G51" s="63"/>
    </row>
    <row r="52" spans="1:7" ht="55" customHeight="1" x14ac:dyDescent="0.2">
      <c r="A52" s="61"/>
      <c r="B52" s="62"/>
      <c r="C52" s="62"/>
      <c r="D52" s="62"/>
      <c r="E52" s="62"/>
      <c r="F52" s="62"/>
      <c r="G52" s="63"/>
    </row>
    <row r="53" spans="1:7" x14ac:dyDescent="0.2">
      <c r="A53" s="65" t="s">
        <v>344</v>
      </c>
      <c r="B53" s="62"/>
      <c r="C53" s="62"/>
      <c r="D53" s="62"/>
      <c r="E53" s="62"/>
      <c r="F53" s="62"/>
      <c r="G53" s="63"/>
    </row>
    <row r="54" spans="1:7" ht="55" customHeight="1" x14ac:dyDescent="0.2">
      <c r="A54" s="61"/>
      <c r="B54" s="62"/>
      <c r="C54" s="62"/>
      <c r="D54" s="62"/>
      <c r="E54" s="62"/>
      <c r="F54" s="62"/>
      <c r="G54" s="63"/>
    </row>
    <row r="55" spans="1:7" x14ac:dyDescent="0.2">
      <c r="A55" s="65" t="s">
        <v>345</v>
      </c>
      <c r="B55" s="62"/>
      <c r="C55" s="62"/>
      <c r="D55" s="62"/>
      <c r="E55" s="62"/>
      <c r="F55" s="62"/>
      <c r="G55" s="63"/>
    </row>
    <row r="56" spans="1:7" ht="55" customHeight="1" x14ac:dyDescent="0.2">
      <c r="A56" s="61"/>
      <c r="B56" s="62"/>
      <c r="C56" s="62"/>
      <c r="D56" s="62"/>
      <c r="E56" s="62"/>
      <c r="F56" s="62"/>
      <c r="G56" s="63"/>
    </row>
    <row r="57" spans="1:7" x14ac:dyDescent="0.2">
      <c r="A57" s="65" t="s">
        <v>346</v>
      </c>
      <c r="B57" s="62"/>
      <c r="C57" s="62"/>
      <c r="D57" s="62"/>
      <c r="E57" s="62"/>
      <c r="F57" s="62"/>
      <c r="G57" s="63"/>
    </row>
    <row r="58" spans="1:7" ht="55" customHeight="1" x14ac:dyDescent="0.2">
      <c r="A58" s="61"/>
      <c r="B58" s="62"/>
      <c r="C58" s="62"/>
      <c r="D58" s="62"/>
      <c r="E58" s="62"/>
      <c r="F58" s="62"/>
      <c r="G58" s="63"/>
    </row>
  </sheetData>
  <mergeCells count="16">
    <mergeCell ref="A13:G13"/>
    <mergeCell ref="A58:G58"/>
    <mergeCell ref="A51:G51"/>
    <mergeCell ref="A56:G56"/>
    <mergeCell ref="A3:G3"/>
    <mergeCell ref="A53:G53"/>
    <mergeCell ref="A55:G55"/>
    <mergeCell ref="A50:G50"/>
    <mergeCell ref="A48:G48"/>
    <mergeCell ref="A24:G24"/>
    <mergeCell ref="A54:G54"/>
    <mergeCell ref="A52:G52"/>
    <mergeCell ref="A57:G57"/>
    <mergeCell ref="A49:G49"/>
    <mergeCell ref="A47:G47"/>
    <mergeCell ref="A46:G4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0 - Start Here</vt:lpstr>
      <vt:lpstr>1 - Seasonal Demand</vt:lpstr>
      <vt:lpstr>2 - Costco Surge</vt:lpstr>
      <vt:lpstr>3 - Safety Stock &amp; Reorder</vt:lpstr>
      <vt:lpstr>4 - New SKU Launch Ramp</vt:lpstr>
      <vt:lpstr>5 - Inventory Health</vt:lpstr>
      <vt:lpstr>6 - Channel P&amp;L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Trey Sisson</cp:lastModifiedBy>
  <dcterms:created xsi:type="dcterms:W3CDTF">2026-03-18T00:55:10Z</dcterms:created>
  <dcterms:modified xsi:type="dcterms:W3CDTF">2026-03-18T19:44:56Z</dcterms:modified>
</cp:coreProperties>
</file>