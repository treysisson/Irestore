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reysisson/Library/CloudStorage/Dropbox/Trey Sisson/iRestore/"/>
    </mc:Choice>
  </mc:AlternateContent>
  <xr:revisionPtr revIDLastSave="0" documentId="13_ncr:1_{4E255666-59A3-AB4D-AB16-5024C40149C7}" xr6:coauthVersionLast="47" xr6:coauthVersionMax="47" xr10:uidLastSave="{00000000-0000-0000-0000-000000000000}"/>
  <bookViews>
    <workbookView xWindow="24380" yWindow="500" windowWidth="26260" windowHeight="16840" tabRatio="500" activeTab="3" xr2:uid="{00000000-000D-0000-FFFF-FFFF00000000}"/>
  </bookViews>
  <sheets>
    <sheet name="Tax Rate Breakdown" sheetId="1" r:id="rId1"/>
    <sheet name="View 1 — Net Payouts" sheetId="2" r:id="rId2"/>
    <sheet name="View 2 — Equivalency" sheetId="3" r:id="rId3"/>
    <sheet name="Exit Sensitiv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15" i="4"/>
  <c r="G15" i="4" s="1"/>
  <c r="G14" i="4"/>
  <c r="B14" i="4"/>
  <c r="E14" i="4" s="1"/>
  <c r="F14" i="4" s="1"/>
  <c r="G13" i="4"/>
  <c r="H13" i="4" s="1"/>
  <c r="E13" i="4"/>
  <c r="F13" i="4" s="1"/>
  <c r="C13" i="4"/>
  <c r="D13" i="4" s="1"/>
  <c r="B13" i="4"/>
  <c r="B12" i="4"/>
  <c r="G11" i="4"/>
  <c r="C11" i="4"/>
  <c r="D11" i="4" s="1"/>
  <c r="B11" i="4"/>
  <c r="H11" i="4" s="1"/>
  <c r="I11" i="4" s="1"/>
  <c r="G10" i="4"/>
  <c r="H10" i="4" s="1"/>
  <c r="B10" i="4"/>
  <c r="B21" i="3"/>
  <c r="C21" i="3" s="1"/>
  <c r="D21" i="3" s="1"/>
  <c r="B20" i="3"/>
  <c r="C20" i="3" s="1"/>
  <c r="D20" i="3" s="1"/>
  <c r="B19" i="3"/>
  <c r="C19" i="3" s="1"/>
  <c r="D19" i="3" s="1"/>
  <c r="B18" i="3"/>
  <c r="C18" i="3" s="1"/>
  <c r="D18" i="3" s="1"/>
  <c r="B17" i="3"/>
  <c r="C17" i="3" s="1"/>
  <c r="D17" i="3" s="1"/>
  <c r="B16" i="3"/>
  <c r="E16" i="3" s="1"/>
  <c r="B15" i="3"/>
  <c r="E15" i="3" s="1"/>
  <c r="B23" i="2"/>
  <c r="E23" i="2" s="1"/>
  <c r="F23" i="2" s="1"/>
  <c r="B22" i="2"/>
  <c r="C22" i="2" s="1"/>
  <c r="D22" i="2" s="1"/>
  <c r="B21" i="2"/>
  <c r="H21" i="2" s="1"/>
  <c r="I21" i="2" s="1"/>
  <c r="J21" i="2" s="1"/>
  <c r="B20" i="2"/>
  <c r="H20" i="2" s="1"/>
  <c r="B19" i="2"/>
  <c r="H19" i="2" s="1"/>
  <c r="B18" i="2"/>
  <c r="H18" i="2" s="1"/>
  <c r="B17" i="2"/>
  <c r="H17" i="2" s="1"/>
  <c r="H16" i="2"/>
  <c r="I16" i="2" s="1"/>
  <c r="B16" i="2"/>
  <c r="E16" i="2" s="1"/>
  <c r="B15" i="2"/>
  <c r="E15" i="2" s="1"/>
  <c r="E21" i="3" l="1"/>
  <c r="F21" i="3" s="1"/>
  <c r="C16" i="3"/>
  <c r="D16" i="3" s="1"/>
  <c r="C15" i="3"/>
  <c r="D15" i="3" s="1"/>
  <c r="E19" i="3"/>
  <c r="E18" i="3"/>
  <c r="G18" i="3" s="1"/>
  <c r="H23" i="2"/>
  <c r="C21" i="2"/>
  <c r="D21" i="2"/>
  <c r="C20" i="2"/>
  <c r="D20" i="2" s="1"/>
  <c r="H15" i="2"/>
  <c r="I15" i="2" s="1"/>
  <c r="E21" i="2"/>
  <c r="E22" i="2"/>
  <c r="F22" i="2" s="1"/>
  <c r="H22" i="2"/>
  <c r="I22" i="2" s="1"/>
  <c r="J22" i="2" s="1"/>
  <c r="I20" i="2"/>
  <c r="J20" i="2" s="1"/>
  <c r="H12" i="4"/>
  <c r="F15" i="2"/>
  <c r="G15" i="2" s="1"/>
  <c r="H15" i="3"/>
  <c r="F15" i="3"/>
  <c r="G15" i="3"/>
  <c r="H16" i="3"/>
  <c r="G16" i="3"/>
  <c r="F16" i="3"/>
  <c r="I13" i="4"/>
  <c r="F10" i="4"/>
  <c r="J17" i="2"/>
  <c r="I17" i="2"/>
  <c r="I18" i="2"/>
  <c r="J18" i="2"/>
  <c r="I19" i="2"/>
  <c r="J19" i="2" s="1"/>
  <c r="H15" i="4"/>
  <c r="J16" i="2"/>
  <c r="C19" i="2"/>
  <c r="D19" i="2" s="1"/>
  <c r="G23" i="2"/>
  <c r="E17" i="3"/>
  <c r="G21" i="3"/>
  <c r="H14" i="4"/>
  <c r="C16" i="4"/>
  <c r="D16" i="4"/>
  <c r="J15" i="2"/>
  <c r="C18" i="2"/>
  <c r="D18" i="2" s="1"/>
  <c r="E20" i="2"/>
  <c r="F21" i="2"/>
  <c r="G21" i="2" s="1"/>
  <c r="C17" i="2"/>
  <c r="E19" i="2"/>
  <c r="I23" i="2"/>
  <c r="J23" i="2" s="1"/>
  <c r="E20" i="3"/>
  <c r="H21" i="3"/>
  <c r="E12" i="4"/>
  <c r="C16" i="2"/>
  <c r="D16" i="2" s="1"/>
  <c r="D17" i="2"/>
  <c r="E18" i="2"/>
  <c r="F12" i="4"/>
  <c r="C15" i="2"/>
  <c r="D15" i="2" s="1"/>
  <c r="E17" i="2"/>
  <c r="C10" i="4"/>
  <c r="D10" i="4" s="1"/>
  <c r="I10" i="4" s="1"/>
  <c r="E11" i="4"/>
  <c r="F11" i="4" s="1"/>
  <c r="G12" i="4"/>
  <c r="C15" i="4"/>
  <c r="E16" i="4"/>
  <c r="F16" i="4"/>
  <c r="G16" i="4"/>
  <c r="H16" i="4" s="1"/>
  <c r="I16" i="4" s="1"/>
  <c r="C12" i="4"/>
  <c r="D12" i="4" s="1"/>
  <c r="D15" i="4"/>
  <c r="F16" i="2"/>
  <c r="G16" i="2" s="1"/>
  <c r="C23" i="2"/>
  <c r="D23" i="2" s="1"/>
  <c r="E10" i="4"/>
  <c r="C14" i="4"/>
  <c r="D14" i="4" s="1"/>
  <c r="E15" i="4"/>
  <c r="F15" i="4"/>
  <c r="G19" i="3" l="1"/>
  <c r="H19" i="3"/>
  <c r="F19" i="3"/>
  <c r="F18" i="3"/>
  <c r="H18" i="3"/>
  <c r="G22" i="2"/>
  <c r="I14" i="4"/>
  <c r="F18" i="2"/>
  <c r="G18" i="2" s="1"/>
  <c r="I12" i="4"/>
  <c r="F20" i="2"/>
  <c r="G20" i="2" s="1"/>
  <c r="H17" i="3"/>
  <c r="G17" i="3"/>
  <c r="F17" i="3"/>
  <c r="H20" i="3"/>
  <c r="G20" i="3"/>
  <c r="F20" i="3"/>
  <c r="F17" i="2"/>
  <c r="G17" i="2" s="1"/>
  <c r="F19" i="2"/>
  <c r="G19" i="2" s="1"/>
  <c r="I15" i="4"/>
</calcChain>
</file>

<file path=xl/sharedStrings.xml><?xml version="1.0" encoding="utf-8"?>
<sst xmlns="http://schemas.openxmlformats.org/spreadsheetml/2006/main" count="101" uniqueCount="83">
  <si>
    <t>Equity Tax Rate Comparison — California Resident</t>
  </si>
  <si>
    <t>Three scenarios: Real Equity (LTCG) | Real Equity + QSBS | Phantom Equity</t>
  </si>
  <si>
    <t>Tax Component</t>
  </si>
  <si>
    <t>Real Equity
(LTCG)</t>
  </si>
  <si>
    <t>Real Equity
+ QSBS</t>
  </si>
  <si>
    <t>Phantom
Equity</t>
  </si>
  <si>
    <t>Notes</t>
  </si>
  <si>
    <t>Federal Income Tax Rate</t>
  </si>
  <si>
    <t>See below*</t>
  </si>
  <si>
    <t>LTCG=20%; Ordinary=37%</t>
  </si>
  <si>
    <t>Net Investment Income Tax (NIIT)</t>
  </si>
  <si>
    <t>N/A</t>
  </si>
  <si>
    <t>3.8% on investment income &gt; $250K</t>
  </si>
  <si>
    <t>California State Tax</t>
  </si>
  <si>
    <t>CA taxes cap gains as ordinary income</t>
  </si>
  <si>
    <t>Medicare Tax (Employee)</t>
  </si>
  <si>
    <t>1.45% + 0.9% Additional Medicare</t>
  </si>
  <si>
    <t>Social Security</t>
  </si>
  <si>
    <t>Capped</t>
  </si>
  <si>
    <t>Capped at ~$168K wage base</t>
  </si>
  <si>
    <t>TOTAL EFFECTIVE TAX RATE</t>
  </si>
  <si>
    <t>13.3% to 37.1%†</t>
  </si>
  <si>
    <t>†QSBS: 13.3% on first $15M, 37.1% above</t>
  </si>
  <si>
    <t>* QSBS (Section 1202) — Federal-Only Savings for CA Residents</t>
  </si>
  <si>
    <t>First $15M of gain:</t>
  </si>
  <si>
    <t>0% federal + 0% NIIT</t>
  </si>
  <si>
    <t>Only CA 13.3% applies</t>
  </si>
  <si>
    <t>Saves 23.8% vs regular equity</t>
  </si>
  <si>
    <t>Gain above $15M:</t>
  </si>
  <si>
    <t>20% federal + 3.8% NIIT</t>
  </si>
  <si>
    <t>Same as regular equity</t>
  </si>
  <si>
    <t>No additional QSBS benefit</t>
  </si>
  <si>
    <t>Key requirements:</t>
  </si>
  <si>
    <t>5-year hold period</t>
  </si>
  <si>
    <t>C-corp with ≤$50M gross assets</t>
  </si>
  <si>
    <t>Stock acquired at original issuance</t>
  </si>
  <si>
    <t>⚠ iRESTORE risk:</t>
  </si>
  <si>
    <t>$90M+ revenue may mean</t>
  </si>
  <si>
    <t>gross assets &gt; $50M</t>
  </si>
  <si>
    <t>Could disqualify QSBS entirely</t>
  </si>
  <si>
    <t>View 1: Given a Fixed Exit Value, What Do You Net in Each Scenario?</t>
  </si>
  <si>
    <t>ASSUMPTIONS</t>
  </si>
  <si>
    <t>Exit Valuation:</t>
  </si>
  <si>
    <t>← Change this value</t>
  </si>
  <si>
    <t>Real Equity Tax Rate:</t>
  </si>
  <si>
    <t>Phantom Tax Rate:</t>
  </si>
  <si>
    <t>QSBS Exclusion Cap:</t>
  </si>
  <si>
    <t>QSBS CA-Only Rate:</t>
  </si>
  <si>
    <t>Net Payout Comparison by Equity Percentage</t>
  </si>
  <si>
    <t>REAL EQUITY (LTCG)</t>
  </si>
  <si>
    <t>REAL EQUITY + QSBS</t>
  </si>
  <si>
    <t>PHANTOM EQUITY</t>
  </si>
  <si>
    <t>Equity %</t>
  </si>
  <si>
    <t>Gross</t>
  </si>
  <si>
    <t>Tax</t>
  </si>
  <si>
    <t>Net</t>
  </si>
  <si>
    <t>View 2: What Equity % in Each Scenario Produces Equal After-Tax Value?</t>
  </si>
  <si>
    <t>Equivalency: Same After-Tax Dollars Across All Three Structures</t>
  </si>
  <si>
    <t>Reading: Each row shows what % in each structure produces the same net payout</t>
  </si>
  <si>
    <t>Real Equity %</t>
  </si>
  <si>
    <t>Real Equity
Net Payout</t>
  </si>
  <si>
    <t>Equivalent
QSBS %</t>
  </si>
  <si>
    <t>QSBS
Net Payout</t>
  </si>
  <si>
    <t>Equivalent
Phantom %</t>
  </si>
  <si>
    <t>Phantom
Net Payout</t>
  </si>
  <si>
    <t>Phantom % is
X higher</t>
  </si>
  <si>
    <t>Extra $ to IRS
(Phantom vs Real)</t>
  </si>
  <si>
    <t>KEY INSIGHT: Phantom equity requires ~33% higher percentage to net the same as real equity. The difference goes entirely to taxes.</t>
  </si>
  <si>
    <t>QSBS INSIGHT: If QSBS qualifies, you need slightly LESS equity than regular real equity to net the same, thanks to the $15M federal exclusion.</t>
  </si>
  <si>
    <t>Net Payout by Exit Value — 5% Equity in Each Structure</t>
  </si>
  <si>
    <t>Equity %:</t>
  </si>
  <si>
    <t>Real Tax Rate:</t>
  </si>
  <si>
    <t>QSBS Cap:</t>
  </si>
  <si>
    <t>QSBS CA Rate:</t>
  </si>
  <si>
    <t>Exit Value</t>
  </si>
  <si>
    <t>Gross
Payout</t>
  </si>
  <si>
    <t>Real Equity
Tax</t>
  </si>
  <si>
    <t>Real Equity
Net</t>
  </si>
  <si>
    <t>QSBS
Tax</t>
  </si>
  <si>
    <t>QSBS
Net</t>
  </si>
  <si>
    <t>Phantom
Tax</t>
  </si>
  <si>
    <t>Phantom
Net</t>
  </si>
  <si>
    <t>Phantom
vs Real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</si>
</sst>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+0.0%"/>
    <numFmt numFmtId="167" formatCode="\$#,##0;&quot;($&quot;#,##0\);\-"/>
  </numFmts>
  <fonts count="18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b/>
      <sz val="11"/>
      <color rgb="FF1F4E79"/>
      <name val="Arial"/>
      <family val="2"/>
    </font>
    <font>
      <b/>
      <sz val="9"/>
      <color rgb="FFC00000"/>
      <name val="Arial"/>
      <family val="2"/>
    </font>
    <font>
      <b/>
      <sz val="12"/>
      <color rgb="FF1F4E79"/>
      <name val="Arial"/>
      <family val="2"/>
    </font>
    <font>
      <b/>
      <sz val="10"/>
      <color rgb="FF0000FF"/>
      <name val="Arial"/>
      <family val="2"/>
    </font>
    <font>
      <i/>
      <sz val="9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rgb="FF54823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7" fillId="6" borderId="0" xfId="0" applyFont="1" applyFill="1" applyAlignment="1">
      <alignment horizontal="left" vertical="center" wrapText="1"/>
    </xf>
    <xf numFmtId="0" fontId="16" fillId="7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0" borderId="0" xfId="0" applyFont="1"/>
    <xf numFmtId="0" fontId="9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/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9" fillId="0" borderId="0" xfId="0" applyFont="1"/>
    <xf numFmtId="0" fontId="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6" fillId="0" borderId="0" xfId="0" applyFont="1"/>
    <xf numFmtId="165" fontId="10" fillId="8" borderId="0" xfId="0" applyNumberFormat="1" applyFont="1" applyFill="1"/>
    <xf numFmtId="0" fontId="11" fillId="0" borderId="0" xfId="0" applyFont="1"/>
    <xf numFmtId="164" fontId="12" fillId="8" borderId="0" xfId="0" applyNumberFormat="1" applyFont="1" applyFill="1"/>
    <xf numFmtId="165" fontId="12" fillId="8" borderId="0" xfId="0" applyNumberFormat="1" applyFont="1" applyFill="1"/>
    <xf numFmtId="0" fontId="13" fillId="2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14" fillId="3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right" vertical="center"/>
    </xf>
    <xf numFmtId="165" fontId="14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center" vertical="center"/>
    </xf>
    <xf numFmtId="166" fontId="15" fillId="3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164" fontId="10" fillId="8" borderId="0" xfId="0" applyNumberFormat="1" applyFont="1" applyFill="1"/>
    <xf numFmtId="167" fontId="15" fillId="3" borderId="1" xfId="0" applyNumberFormat="1" applyFont="1" applyFill="1" applyBorder="1" applyAlignment="1">
      <alignment horizontal="right" vertical="center"/>
    </xf>
    <xf numFmtId="167" fontId="15" fillId="4" borderId="1" xfId="0" applyNumberFormat="1" applyFont="1" applyFill="1" applyBorder="1" applyAlignment="1">
      <alignment horizontal="right" vertical="center"/>
    </xf>
    <xf numFmtId="167" fontId="15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16"/>
  <sheetViews>
    <sheetView zoomScale="168" zoomScaleNormal="168" workbookViewId="0">
      <selection sqref="A1:E1"/>
    </sheetView>
  </sheetViews>
  <sheetFormatPr baseColWidth="10" defaultColWidth="8.6640625" defaultRowHeight="15" customHeight="1" x14ac:dyDescent="0.2"/>
  <cols>
    <col min="1" max="1" width="32" customWidth="1"/>
    <col min="2" max="4" width="18" customWidth="1"/>
    <col min="5" max="5" width="28" customWidth="1"/>
  </cols>
  <sheetData>
    <row r="1" spans="1:5" ht="18" x14ac:dyDescent="0.2">
      <c r="A1" s="9" t="s">
        <v>0</v>
      </c>
      <c r="B1" s="9"/>
      <c r="C1" s="9"/>
      <c r="D1" s="9"/>
      <c r="E1" s="9"/>
    </row>
    <row r="2" spans="1:5" x14ac:dyDescent="0.2">
      <c r="A2" s="8" t="s">
        <v>1</v>
      </c>
      <c r="B2" s="8"/>
      <c r="C2" s="8"/>
      <c r="D2" s="8"/>
      <c r="E2" s="8"/>
    </row>
    <row r="4" spans="1:5" ht="34.5" customHeight="1" x14ac:dyDescent="0.2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spans="1:5" x14ac:dyDescent="0.2">
      <c r="A5" s="11" t="s">
        <v>7</v>
      </c>
      <c r="B5" s="12">
        <v>0.2</v>
      </c>
      <c r="C5" s="13" t="s">
        <v>8</v>
      </c>
      <c r="D5" s="12">
        <v>0.37</v>
      </c>
      <c r="E5" s="14" t="s">
        <v>9</v>
      </c>
    </row>
    <row r="6" spans="1:5" x14ac:dyDescent="0.2">
      <c r="A6" s="15" t="s">
        <v>10</v>
      </c>
      <c r="B6" s="16">
        <v>3.7999999999999999E-2</v>
      </c>
      <c r="C6" s="17" t="s">
        <v>8</v>
      </c>
      <c r="D6" s="17" t="s">
        <v>11</v>
      </c>
      <c r="E6" s="18" t="s">
        <v>12</v>
      </c>
    </row>
    <row r="7" spans="1:5" ht="26" x14ac:dyDescent="0.2">
      <c r="A7" s="11" t="s">
        <v>13</v>
      </c>
      <c r="B7" s="12">
        <v>0.13300000000000001</v>
      </c>
      <c r="C7" s="12">
        <v>0.13300000000000001</v>
      </c>
      <c r="D7" s="12">
        <v>0.13300000000000001</v>
      </c>
      <c r="E7" s="14" t="s">
        <v>14</v>
      </c>
    </row>
    <row r="8" spans="1:5" x14ac:dyDescent="0.2">
      <c r="A8" s="15" t="s">
        <v>15</v>
      </c>
      <c r="B8" s="17" t="s">
        <v>11</v>
      </c>
      <c r="C8" s="17" t="s">
        <v>11</v>
      </c>
      <c r="D8" s="16">
        <v>2.35E-2</v>
      </c>
      <c r="E8" s="18" t="s">
        <v>16</v>
      </c>
    </row>
    <row r="9" spans="1:5" x14ac:dyDescent="0.2">
      <c r="A9" s="11" t="s">
        <v>17</v>
      </c>
      <c r="B9" s="13" t="s">
        <v>11</v>
      </c>
      <c r="C9" s="13" t="s">
        <v>11</v>
      </c>
      <c r="D9" s="13" t="s">
        <v>18</v>
      </c>
      <c r="E9" s="14" t="s">
        <v>19</v>
      </c>
    </row>
    <row r="10" spans="1:5" x14ac:dyDescent="0.2">
      <c r="A10" s="19" t="s">
        <v>20</v>
      </c>
      <c r="B10" s="20">
        <v>0.371</v>
      </c>
      <c r="C10" s="21" t="s">
        <v>21</v>
      </c>
      <c r="D10" s="20">
        <v>0.52649999999999997</v>
      </c>
      <c r="E10" s="22" t="s">
        <v>22</v>
      </c>
    </row>
    <row r="12" spans="1:5" ht="16" x14ac:dyDescent="0.2">
      <c r="A12" s="7" t="s">
        <v>23</v>
      </c>
      <c r="B12" s="7"/>
      <c r="C12" s="7"/>
      <c r="D12" s="7"/>
      <c r="E12" s="7"/>
    </row>
    <row r="13" spans="1:5" x14ac:dyDescent="0.2">
      <c r="A13" s="24" t="s">
        <v>24</v>
      </c>
      <c r="B13" s="25" t="s">
        <v>25</v>
      </c>
      <c r="C13" s="25" t="s">
        <v>26</v>
      </c>
      <c r="D13" s="25" t="s">
        <v>27</v>
      </c>
    </row>
    <row r="14" spans="1:5" x14ac:dyDescent="0.2">
      <c r="A14" s="24" t="s">
        <v>28</v>
      </c>
      <c r="B14" s="25" t="s">
        <v>29</v>
      </c>
      <c r="C14" s="25" t="s">
        <v>30</v>
      </c>
      <c r="D14" s="25" t="s">
        <v>31</v>
      </c>
    </row>
    <row r="15" spans="1:5" x14ac:dyDescent="0.2">
      <c r="A15" s="26" t="s">
        <v>32</v>
      </c>
      <c r="B15" s="15" t="s">
        <v>33</v>
      </c>
      <c r="C15" s="15" t="s">
        <v>34</v>
      </c>
      <c r="D15" s="15" t="s">
        <v>35</v>
      </c>
    </row>
    <row r="16" spans="1:5" x14ac:dyDescent="0.2">
      <c r="A16" s="27" t="s">
        <v>36</v>
      </c>
      <c r="B16" s="28" t="s">
        <v>37</v>
      </c>
      <c r="C16" s="28" t="s">
        <v>38</v>
      </c>
      <c r="D16" s="28" t="s">
        <v>39</v>
      </c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23"/>
  <sheetViews>
    <sheetView zoomScale="128" zoomScaleNormal="128" workbookViewId="0">
      <selection activeCell="J22" sqref="J22"/>
    </sheetView>
  </sheetViews>
  <sheetFormatPr baseColWidth="10" defaultColWidth="8.6640625" defaultRowHeight="15" customHeight="1" x14ac:dyDescent="0.2"/>
  <cols>
    <col min="1" max="1" width="20" customWidth="1"/>
    <col min="2" max="10" width="16" customWidth="1"/>
  </cols>
  <sheetData>
    <row r="1" spans="1:10" ht="18" x14ac:dyDescent="0.2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</row>
    <row r="3" spans="1:10" ht="16" x14ac:dyDescent="0.2">
      <c r="A3" s="23" t="s">
        <v>41</v>
      </c>
    </row>
    <row r="4" spans="1:10" x14ac:dyDescent="0.2">
      <c r="A4" s="29" t="s">
        <v>42</v>
      </c>
      <c r="B4" s="30">
        <v>300000000</v>
      </c>
      <c r="C4" s="31" t="s">
        <v>43</v>
      </c>
    </row>
    <row r="5" spans="1:10" x14ac:dyDescent="0.2">
      <c r="A5" s="29" t="s">
        <v>44</v>
      </c>
      <c r="B5" s="32">
        <v>0.371</v>
      </c>
    </row>
    <row r="6" spans="1:10" x14ac:dyDescent="0.2">
      <c r="A6" s="29" t="s">
        <v>45</v>
      </c>
      <c r="B6" s="32">
        <v>0.52649999999999997</v>
      </c>
    </row>
    <row r="7" spans="1:10" x14ac:dyDescent="0.2">
      <c r="A7" s="29" t="s">
        <v>46</v>
      </c>
      <c r="B7" s="33">
        <v>15000000</v>
      </c>
    </row>
    <row r="8" spans="1:10" x14ac:dyDescent="0.2">
      <c r="A8" s="29" t="s">
        <v>47</v>
      </c>
      <c r="B8" s="32">
        <v>0.13300000000000001</v>
      </c>
    </row>
    <row r="11" spans="1:10" ht="16" x14ac:dyDescent="0.2">
      <c r="A11" s="7" t="s">
        <v>48</v>
      </c>
      <c r="B11" s="7"/>
      <c r="C11" s="7"/>
      <c r="D11" s="7"/>
      <c r="E11" s="7"/>
      <c r="F11" s="7"/>
      <c r="G11" s="7"/>
      <c r="H11" s="7"/>
      <c r="I11" s="7"/>
      <c r="J11" s="7"/>
    </row>
    <row r="13" spans="1:10" x14ac:dyDescent="0.2">
      <c r="B13" s="5" t="s">
        <v>49</v>
      </c>
      <c r="C13" s="5"/>
      <c r="D13" s="5"/>
      <c r="E13" s="4" t="s">
        <v>50</v>
      </c>
      <c r="F13" s="4"/>
      <c r="G13" s="4"/>
      <c r="H13" s="3" t="s">
        <v>51</v>
      </c>
      <c r="I13" s="3"/>
      <c r="J13" s="3"/>
    </row>
    <row r="14" spans="1:10" x14ac:dyDescent="0.2">
      <c r="A14" s="34" t="s">
        <v>52</v>
      </c>
      <c r="B14" s="35" t="s">
        <v>53</v>
      </c>
      <c r="C14" s="35" t="s">
        <v>54</v>
      </c>
      <c r="D14" s="35" t="s">
        <v>55</v>
      </c>
      <c r="E14" s="36" t="s">
        <v>53</v>
      </c>
      <c r="F14" s="36" t="s">
        <v>54</v>
      </c>
      <c r="G14" s="36" t="s">
        <v>55</v>
      </c>
      <c r="H14" s="37" t="s">
        <v>53</v>
      </c>
      <c r="I14" s="37" t="s">
        <v>54</v>
      </c>
      <c r="J14" s="37" t="s">
        <v>55</v>
      </c>
    </row>
    <row r="15" spans="1:10" x14ac:dyDescent="0.2">
      <c r="A15" s="12">
        <v>0.01</v>
      </c>
      <c r="B15" s="38">
        <f t="shared" ref="B15:B23" si="0">A15*$B$4</f>
        <v>3000000</v>
      </c>
      <c r="C15" s="39">
        <f t="shared" ref="C15:C23" si="1">B15*$B$5</f>
        <v>1113000</v>
      </c>
      <c r="D15" s="38">
        <f t="shared" ref="D15:D23" si="2">B15-C15</f>
        <v>1887000</v>
      </c>
      <c r="E15" s="38">
        <f t="shared" ref="E15:E23" si="3">B15</f>
        <v>3000000</v>
      </c>
      <c r="F15" s="39">
        <f t="shared" ref="F15:F23" si="4">MIN(E15,$B$7)*$B$8 + MAX(E15-$B$7,0)*$B$5</f>
        <v>399000</v>
      </c>
      <c r="G15" s="38">
        <f t="shared" ref="G15:G23" si="5">E15-F15</f>
        <v>2601000</v>
      </c>
      <c r="H15" s="38">
        <f t="shared" ref="H15:H23" si="6">B15</f>
        <v>3000000</v>
      </c>
      <c r="I15" s="39">
        <f t="shared" ref="I15:I23" si="7">H15*$B$6</f>
        <v>1579500</v>
      </c>
      <c r="J15" s="38">
        <f t="shared" ref="J15:J23" si="8">H15-I15</f>
        <v>1420500</v>
      </c>
    </row>
    <row r="16" spans="1:10" x14ac:dyDescent="0.2">
      <c r="A16" s="16">
        <v>0.02</v>
      </c>
      <c r="B16" s="40">
        <f t="shared" si="0"/>
        <v>6000000</v>
      </c>
      <c r="C16" s="41">
        <f t="shared" si="1"/>
        <v>2226000</v>
      </c>
      <c r="D16" s="40">
        <f t="shared" si="2"/>
        <v>3774000</v>
      </c>
      <c r="E16" s="40">
        <f t="shared" si="3"/>
        <v>6000000</v>
      </c>
      <c r="F16" s="41">
        <f t="shared" si="4"/>
        <v>798000</v>
      </c>
      <c r="G16" s="40">
        <f t="shared" si="5"/>
        <v>5202000</v>
      </c>
      <c r="H16" s="40">
        <f t="shared" si="6"/>
        <v>6000000</v>
      </c>
      <c r="I16" s="41">
        <f t="shared" si="7"/>
        <v>3159000</v>
      </c>
      <c r="J16" s="40">
        <f t="shared" si="8"/>
        <v>2841000</v>
      </c>
    </row>
    <row r="17" spans="1:10" x14ac:dyDescent="0.2">
      <c r="A17" s="12">
        <v>0.03</v>
      </c>
      <c r="B17" s="38">
        <f t="shared" si="0"/>
        <v>9000000</v>
      </c>
      <c r="C17" s="39">
        <f t="shared" si="1"/>
        <v>3339000</v>
      </c>
      <c r="D17" s="38">
        <f t="shared" si="2"/>
        <v>5661000</v>
      </c>
      <c r="E17" s="38">
        <f t="shared" si="3"/>
        <v>9000000</v>
      </c>
      <c r="F17" s="39">
        <f t="shared" si="4"/>
        <v>1197000</v>
      </c>
      <c r="G17" s="38">
        <f t="shared" si="5"/>
        <v>7803000</v>
      </c>
      <c r="H17" s="38">
        <f t="shared" si="6"/>
        <v>9000000</v>
      </c>
      <c r="I17" s="39">
        <f t="shared" si="7"/>
        <v>4738500</v>
      </c>
      <c r="J17" s="38">
        <f t="shared" si="8"/>
        <v>4261500</v>
      </c>
    </row>
    <row r="18" spans="1:10" x14ac:dyDescent="0.2">
      <c r="A18" s="16">
        <v>0.04</v>
      </c>
      <c r="B18" s="40">
        <f t="shared" si="0"/>
        <v>12000000</v>
      </c>
      <c r="C18" s="41">
        <f t="shared" si="1"/>
        <v>4452000</v>
      </c>
      <c r="D18" s="40">
        <f t="shared" si="2"/>
        <v>7548000</v>
      </c>
      <c r="E18" s="40">
        <f t="shared" si="3"/>
        <v>12000000</v>
      </c>
      <c r="F18" s="41">
        <f t="shared" si="4"/>
        <v>1596000</v>
      </c>
      <c r="G18" s="40">
        <f t="shared" si="5"/>
        <v>10404000</v>
      </c>
      <c r="H18" s="40">
        <f t="shared" si="6"/>
        <v>12000000</v>
      </c>
      <c r="I18" s="41">
        <f t="shared" si="7"/>
        <v>6318000</v>
      </c>
      <c r="J18" s="40">
        <f t="shared" si="8"/>
        <v>5682000</v>
      </c>
    </row>
    <row r="19" spans="1:10" x14ac:dyDescent="0.2">
      <c r="A19" s="42">
        <v>0.05</v>
      </c>
      <c r="B19" s="43">
        <f t="shared" si="0"/>
        <v>15000000</v>
      </c>
      <c r="C19" s="44">
        <f t="shared" si="1"/>
        <v>5565000</v>
      </c>
      <c r="D19" s="45">
        <f t="shared" si="2"/>
        <v>9435000</v>
      </c>
      <c r="E19" s="43">
        <f t="shared" si="3"/>
        <v>15000000</v>
      </c>
      <c r="F19" s="44">
        <f t="shared" si="4"/>
        <v>1995000</v>
      </c>
      <c r="G19" s="45">
        <f t="shared" si="5"/>
        <v>13005000</v>
      </c>
      <c r="H19" s="43">
        <f t="shared" si="6"/>
        <v>15000000</v>
      </c>
      <c r="I19" s="44">
        <f t="shared" si="7"/>
        <v>7897499.9999999991</v>
      </c>
      <c r="J19" s="45">
        <f t="shared" si="8"/>
        <v>7102500.0000000009</v>
      </c>
    </row>
    <row r="20" spans="1:10" x14ac:dyDescent="0.2">
      <c r="A20" s="42">
        <v>0.06</v>
      </c>
      <c r="B20" s="43">
        <f t="shared" si="0"/>
        <v>18000000</v>
      </c>
      <c r="C20" s="44">
        <f t="shared" si="1"/>
        <v>6678000</v>
      </c>
      <c r="D20" s="45">
        <f t="shared" si="2"/>
        <v>11322000</v>
      </c>
      <c r="E20" s="43">
        <f t="shared" si="3"/>
        <v>18000000</v>
      </c>
      <c r="F20" s="44">
        <f t="shared" si="4"/>
        <v>3108000</v>
      </c>
      <c r="G20" s="45">
        <f t="shared" si="5"/>
        <v>14892000</v>
      </c>
      <c r="H20" s="43">
        <f t="shared" si="6"/>
        <v>18000000</v>
      </c>
      <c r="I20" s="44">
        <f t="shared" si="7"/>
        <v>9477000</v>
      </c>
      <c r="J20" s="45">
        <f t="shared" si="8"/>
        <v>8523000</v>
      </c>
    </row>
    <row r="21" spans="1:10" x14ac:dyDescent="0.2">
      <c r="A21" s="12">
        <v>7.0000000000000007E-2</v>
      </c>
      <c r="B21" s="38">
        <f t="shared" si="0"/>
        <v>21000000.000000004</v>
      </c>
      <c r="C21" s="39">
        <f t="shared" si="1"/>
        <v>7791000.0000000009</v>
      </c>
      <c r="D21" s="38">
        <f t="shared" si="2"/>
        <v>13209000.000000004</v>
      </c>
      <c r="E21" s="38">
        <f t="shared" si="3"/>
        <v>21000000.000000004</v>
      </c>
      <c r="F21" s="39">
        <f t="shared" si="4"/>
        <v>4221000.0000000019</v>
      </c>
      <c r="G21" s="38">
        <f t="shared" si="5"/>
        <v>16779000</v>
      </c>
      <c r="H21" s="38">
        <f t="shared" si="6"/>
        <v>21000000.000000004</v>
      </c>
      <c r="I21" s="39">
        <f t="shared" si="7"/>
        <v>11056500.000000002</v>
      </c>
      <c r="J21" s="38">
        <f t="shared" si="8"/>
        <v>9943500.0000000019</v>
      </c>
    </row>
    <row r="22" spans="1:10" x14ac:dyDescent="0.2">
      <c r="A22" s="42">
        <v>0.08</v>
      </c>
      <c r="B22" s="43">
        <f t="shared" si="0"/>
        <v>24000000</v>
      </c>
      <c r="C22" s="44">
        <f t="shared" si="1"/>
        <v>8904000</v>
      </c>
      <c r="D22" s="45">
        <f t="shared" si="2"/>
        <v>15096000</v>
      </c>
      <c r="E22" s="43">
        <f t="shared" si="3"/>
        <v>24000000</v>
      </c>
      <c r="F22" s="44">
        <f t="shared" si="4"/>
        <v>5334000</v>
      </c>
      <c r="G22" s="45">
        <f t="shared" si="5"/>
        <v>18666000</v>
      </c>
      <c r="H22" s="43">
        <f t="shared" si="6"/>
        <v>24000000</v>
      </c>
      <c r="I22" s="44">
        <f t="shared" si="7"/>
        <v>12636000</v>
      </c>
      <c r="J22" s="45">
        <f t="shared" si="8"/>
        <v>11364000</v>
      </c>
    </row>
    <row r="23" spans="1:10" x14ac:dyDescent="0.2">
      <c r="A23" s="12">
        <v>0.1</v>
      </c>
      <c r="B23" s="38">
        <f t="shared" si="0"/>
        <v>30000000</v>
      </c>
      <c r="C23" s="39">
        <f t="shared" si="1"/>
        <v>11130000</v>
      </c>
      <c r="D23" s="38">
        <f t="shared" si="2"/>
        <v>18870000</v>
      </c>
      <c r="E23" s="38">
        <f t="shared" si="3"/>
        <v>30000000</v>
      </c>
      <c r="F23" s="39">
        <f t="shared" si="4"/>
        <v>7560000</v>
      </c>
      <c r="G23" s="38">
        <f t="shared" si="5"/>
        <v>22440000</v>
      </c>
      <c r="H23" s="38">
        <f t="shared" si="6"/>
        <v>30000000</v>
      </c>
      <c r="I23" s="39">
        <f t="shared" si="7"/>
        <v>15794999.999999998</v>
      </c>
      <c r="J23" s="38">
        <f t="shared" si="8"/>
        <v>14205000.000000002</v>
      </c>
    </row>
  </sheetData>
  <mergeCells count="5">
    <mergeCell ref="A1:J1"/>
    <mergeCell ref="A11:J11"/>
    <mergeCell ref="B13:D13"/>
    <mergeCell ref="E13:G13"/>
    <mergeCell ref="H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H24"/>
  <sheetViews>
    <sheetView zoomScale="126" zoomScaleNormal="126" workbookViewId="0">
      <selection activeCell="E21" sqref="E21"/>
    </sheetView>
  </sheetViews>
  <sheetFormatPr baseColWidth="10" defaultColWidth="8.6640625" defaultRowHeight="15" customHeight="1" x14ac:dyDescent="0.2"/>
  <cols>
    <col min="1" max="1" width="22" customWidth="1"/>
    <col min="2" max="7" width="16" customWidth="1"/>
    <col min="8" max="8" width="22" customWidth="1"/>
  </cols>
  <sheetData>
    <row r="1" spans="1:8" ht="18" x14ac:dyDescent="0.2">
      <c r="A1" s="6" t="s">
        <v>56</v>
      </c>
      <c r="B1" s="6"/>
      <c r="C1" s="6"/>
      <c r="D1" s="6"/>
      <c r="E1" s="6"/>
      <c r="F1" s="6"/>
      <c r="G1" s="6"/>
      <c r="H1" s="6"/>
    </row>
    <row r="3" spans="1:8" ht="16" x14ac:dyDescent="0.2">
      <c r="A3" s="23" t="s">
        <v>41</v>
      </c>
    </row>
    <row r="4" spans="1:8" x14ac:dyDescent="0.2">
      <c r="A4" s="29" t="s">
        <v>42</v>
      </c>
      <c r="B4" s="30">
        <v>300000000</v>
      </c>
    </row>
    <row r="5" spans="1:8" x14ac:dyDescent="0.2">
      <c r="A5" s="29" t="s">
        <v>44</v>
      </c>
      <c r="B5" s="32">
        <v>0.371</v>
      </c>
    </row>
    <row r="6" spans="1:8" x14ac:dyDescent="0.2">
      <c r="A6" s="29" t="s">
        <v>45</v>
      </c>
      <c r="B6" s="32">
        <v>0.52649999999999997</v>
      </c>
    </row>
    <row r="7" spans="1:8" x14ac:dyDescent="0.2">
      <c r="A7" s="29" t="s">
        <v>46</v>
      </c>
      <c r="B7" s="33">
        <v>15000000</v>
      </c>
    </row>
    <row r="8" spans="1:8" x14ac:dyDescent="0.2">
      <c r="A8" s="29" t="s">
        <v>47</v>
      </c>
      <c r="B8" s="32">
        <v>0.13300000000000001</v>
      </c>
    </row>
    <row r="11" spans="1:8" ht="16" x14ac:dyDescent="0.2">
      <c r="A11" s="7" t="s">
        <v>57</v>
      </c>
      <c r="B11" s="7"/>
      <c r="C11" s="7"/>
      <c r="D11" s="7"/>
      <c r="E11" s="7"/>
      <c r="F11" s="7"/>
      <c r="G11" s="7"/>
      <c r="H11" s="7"/>
    </row>
    <row r="12" spans="1:8" x14ac:dyDescent="0.2">
      <c r="A12" s="8" t="s">
        <v>58</v>
      </c>
      <c r="B12" s="8"/>
      <c r="C12" s="8"/>
      <c r="D12" s="8"/>
      <c r="E12" s="8"/>
      <c r="F12" s="8"/>
      <c r="G12" s="8"/>
      <c r="H12" s="8"/>
    </row>
    <row r="14" spans="1:8" ht="34.5" customHeight="1" x14ac:dyDescent="0.2">
      <c r="A14" s="10" t="s">
        <v>59</v>
      </c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65</v>
      </c>
      <c r="H14" s="10" t="s">
        <v>66</v>
      </c>
    </row>
    <row r="15" spans="1:8" x14ac:dyDescent="0.2">
      <c r="A15" s="12">
        <v>0.02</v>
      </c>
      <c r="B15" s="38">
        <f t="shared" ref="B15:B21" si="0">A15*$B$4*(1-$B$5)</f>
        <v>3774000</v>
      </c>
      <c r="C15" s="46">
        <f t="shared" ref="C15:C21" si="1">IF(B15&lt;=$B$7*(1-$B$8), B15/((1-$B$8)*$B$4), ((B15-$B$7*(1-$B$8))/(1-$B$5)+$B$7)/$B$4)</f>
        <v>1.4509803921568627E-2</v>
      </c>
      <c r="D15" s="38">
        <f t="shared" ref="D15:D21" si="2">MIN(C15*$B$4,$B$7)*(1-$B$8)+MAX(C15*$B$4-$B$7,0)*(1-$B$5)</f>
        <v>3773999.9999999995</v>
      </c>
      <c r="E15" s="46">
        <f t="shared" ref="E15:E21" si="3">B15/((1-$B$6)*$B$4)</f>
        <v>2.6568109820485745E-2</v>
      </c>
      <c r="F15" s="38">
        <f t="shared" ref="F15:F21" si="4">E15*$B$4*(1-$B$6)</f>
        <v>3774000.0000000005</v>
      </c>
      <c r="G15" s="47">
        <f t="shared" ref="G15:G21" si="5">E15/A15-1</f>
        <v>0.32840549102428729</v>
      </c>
      <c r="H15" s="39">
        <f t="shared" ref="H15:H21" si="6">E15*$B$4*$B$6 - A15*$B$4*$B$5</f>
        <v>1970432.9461457236</v>
      </c>
    </row>
    <row r="16" spans="1:8" x14ac:dyDescent="0.2">
      <c r="A16" s="16">
        <v>0.03</v>
      </c>
      <c r="B16" s="40">
        <f t="shared" si="0"/>
        <v>5661000</v>
      </c>
      <c r="C16" s="48">
        <f t="shared" si="1"/>
        <v>2.1764705882352939E-2</v>
      </c>
      <c r="D16" s="40">
        <f t="shared" si="2"/>
        <v>5660999.9999999991</v>
      </c>
      <c r="E16" s="48">
        <f t="shared" si="3"/>
        <v>3.9852164730728619E-2</v>
      </c>
      <c r="F16" s="40">
        <f t="shared" si="4"/>
        <v>5661000</v>
      </c>
      <c r="G16" s="49">
        <f t="shared" si="5"/>
        <v>0.32840549102428729</v>
      </c>
      <c r="H16" s="41">
        <f t="shared" si="6"/>
        <v>2955649.4192185849</v>
      </c>
    </row>
    <row r="17" spans="1:8" x14ac:dyDescent="0.2">
      <c r="A17" s="12">
        <v>0.04</v>
      </c>
      <c r="B17" s="38">
        <f t="shared" si="0"/>
        <v>7548000</v>
      </c>
      <c r="C17" s="46">
        <f t="shared" si="1"/>
        <v>2.9019607843137254E-2</v>
      </c>
      <c r="D17" s="38">
        <f t="shared" si="2"/>
        <v>7547999.9999999991</v>
      </c>
      <c r="E17" s="46">
        <f t="shared" si="3"/>
        <v>5.313621964097149E-2</v>
      </c>
      <c r="F17" s="38">
        <f t="shared" si="4"/>
        <v>7548000.0000000009</v>
      </c>
      <c r="G17" s="47">
        <f t="shared" si="5"/>
        <v>0.32840549102428729</v>
      </c>
      <c r="H17" s="39">
        <f t="shared" si="6"/>
        <v>3940865.8922914471</v>
      </c>
    </row>
    <row r="18" spans="1:8" x14ac:dyDescent="0.2">
      <c r="A18" s="42">
        <v>0.05</v>
      </c>
      <c r="B18" s="45">
        <f t="shared" si="0"/>
        <v>9435000</v>
      </c>
      <c r="C18" s="50">
        <f t="shared" si="1"/>
        <v>3.6274509803921572E-2</v>
      </c>
      <c r="D18" s="43">
        <f t="shared" si="2"/>
        <v>9435000.0000000019</v>
      </c>
      <c r="E18" s="50">
        <f t="shared" si="3"/>
        <v>6.6420274551214367E-2</v>
      </c>
      <c r="F18" s="43">
        <f t="shared" si="4"/>
        <v>9435000.0000000019</v>
      </c>
      <c r="G18" s="51">
        <f t="shared" si="5"/>
        <v>0.32840549102428729</v>
      </c>
      <c r="H18" s="44">
        <f t="shared" si="6"/>
        <v>4926082.3653643075</v>
      </c>
    </row>
    <row r="19" spans="1:8" x14ac:dyDescent="0.2">
      <c r="A19" s="42">
        <v>0.06</v>
      </c>
      <c r="B19" s="45">
        <f t="shared" si="0"/>
        <v>11322000</v>
      </c>
      <c r="C19" s="50">
        <f t="shared" si="1"/>
        <v>4.3529411764705879E-2</v>
      </c>
      <c r="D19" s="43">
        <f t="shared" si="2"/>
        <v>11321999.999999998</v>
      </c>
      <c r="E19" s="50">
        <f t="shared" si="3"/>
        <v>7.9704329461457238E-2</v>
      </c>
      <c r="F19" s="43">
        <f t="shared" si="4"/>
        <v>11322000</v>
      </c>
      <c r="G19" s="51">
        <f t="shared" si="5"/>
        <v>0.32840549102428729</v>
      </c>
      <c r="H19" s="44">
        <f t="shared" si="6"/>
        <v>5911298.8384371698</v>
      </c>
    </row>
    <row r="20" spans="1:8" x14ac:dyDescent="0.2">
      <c r="A20" s="16">
        <v>7.0000000000000007E-2</v>
      </c>
      <c r="B20" s="40">
        <f t="shared" si="0"/>
        <v>13209000.000000002</v>
      </c>
      <c r="C20" s="48">
        <f t="shared" si="1"/>
        <v>5.1081081081081087E-2</v>
      </c>
      <c r="D20" s="40">
        <f t="shared" si="2"/>
        <v>13209000.000000002</v>
      </c>
      <c r="E20" s="48">
        <f t="shared" si="3"/>
        <v>9.2988384371700122E-2</v>
      </c>
      <c r="F20" s="40">
        <f t="shared" si="4"/>
        <v>13209000.000000004</v>
      </c>
      <c r="G20" s="49">
        <f t="shared" si="5"/>
        <v>0.32840549102428729</v>
      </c>
      <c r="H20" s="41">
        <f t="shared" si="6"/>
        <v>6896515.311510033</v>
      </c>
    </row>
    <row r="21" spans="1:8" x14ac:dyDescent="0.2">
      <c r="A21" s="42">
        <v>0.08</v>
      </c>
      <c r="B21" s="45">
        <f t="shared" si="0"/>
        <v>15096000</v>
      </c>
      <c r="C21" s="50">
        <f t="shared" si="1"/>
        <v>6.1081081081081082E-2</v>
      </c>
      <c r="D21" s="43">
        <f t="shared" si="2"/>
        <v>15096000</v>
      </c>
      <c r="E21" s="50">
        <f t="shared" si="3"/>
        <v>0.10627243928194298</v>
      </c>
      <c r="F21" s="43">
        <f t="shared" si="4"/>
        <v>15096000.000000002</v>
      </c>
      <c r="G21" s="51">
        <f t="shared" si="5"/>
        <v>0.32840549102428729</v>
      </c>
      <c r="H21" s="44">
        <f t="shared" si="6"/>
        <v>7881731.7845828943</v>
      </c>
    </row>
    <row r="23" spans="1:8" ht="15" customHeight="1" x14ac:dyDescent="0.2">
      <c r="A23" s="2" t="s">
        <v>67</v>
      </c>
      <c r="B23" s="2"/>
      <c r="C23" s="2"/>
      <c r="D23" s="2"/>
      <c r="E23" s="2"/>
      <c r="F23" s="2"/>
      <c r="G23" s="2"/>
      <c r="H23" s="2"/>
    </row>
    <row r="24" spans="1:8" ht="26.75" customHeight="1" x14ac:dyDescent="0.2">
      <c r="A24" s="1" t="s">
        <v>68</v>
      </c>
      <c r="B24" s="1"/>
      <c r="C24" s="1"/>
      <c r="D24" s="1"/>
      <c r="E24" s="1"/>
      <c r="F24" s="1"/>
      <c r="G24" s="1"/>
      <c r="H24" s="1"/>
    </row>
  </sheetData>
  <mergeCells count="5">
    <mergeCell ref="A1:H1"/>
    <mergeCell ref="A11:H11"/>
    <mergeCell ref="A12:H12"/>
    <mergeCell ref="A23:H23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I16"/>
  <sheetViews>
    <sheetView tabSelected="1" zoomScale="163" zoomScaleNormal="163" workbookViewId="0">
      <selection activeCell="H11" sqref="H11"/>
    </sheetView>
  </sheetViews>
  <sheetFormatPr baseColWidth="10" defaultColWidth="8.6640625" defaultRowHeight="15" customHeight="1" x14ac:dyDescent="0.2"/>
  <cols>
    <col min="1" max="1" width="16" customWidth="1"/>
    <col min="2" max="9" width="15" customWidth="1"/>
  </cols>
  <sheetData>
    <row r="1" spans="1:9" ht="18" x14ac:dyDescent="0.2">
      <c r="A1" s="6" t="s">
        <v>69</v>
      </c>
      <c r="B1" s="6"/>
      <c r="C1" s="6"/>
      <c r="D1" s="6"/>
      <c r="E1" s="6"/>
      <c r="F1" s="6"/>
      <c r="G1" s="6"/>
      <c r="H1" s="6"/>
      <c r="I1" s="6"/>
    </row>
    <row r="3" spans="1:9" x14ac:dyDescent="0.2">
      <c r="A3" s="29" t="s">
        <v>70</v>
      </c>
      <c r="B3" s="52">
        <v>0.05</v>
      </c>
    </row>
    <row r="4" spans="1:9" x14ac:dyDescent="0.2">
      <c r="A4" s="29" t="s">
        <v>71</v>
      </c>
      <c r="B4" s="32">
        <v>0.371</v>
      </c>
    </row>
    <row r="5" spans="1:9" x14ac:dyDescent="0.2">
      <c r="A5" s="29" t="s">
        <v>45</v>
      </c>
      <c r="B5" s="32">
        <v>0.52649999999999997</v>
      </c>
    </row>
    <row r="6" spans="1:9" x14ac:dyDescent="0.2">
      <c r="A6" s="29" t="s">
        <v>72</v>
      </c>
      <c r="B6" s="33">
        <v>15000000</v>
      </c>
    </row>
    <row r="7" spans="1:9" x14ac:dyDescent="0.2">
      <c r="A7" s="29" t="s">
        <v>73</v>
      </c>
      <c r="B7" s="32">
        <v>0.13300000000000001</v>
      </c>
    </row>
    <row r="9" spans="1:9" ht="34.5" customHeight="1" x14ac:dyDescent="0.2">
      <c r="A9" s="10" t="s">
        <v>74</v>
      </c>
      <c r="B9" s="10" t="s">
        <v>75</v>
      </c>
      <c r="C9" s="10" t="s">
        <v>76</v>
      </c>
      <c r="D9" s="10" t="s">
        <v>77</v>
      </c>
      <c r="E9" s="10" t="s">
        <v>78</v>
      </c>
      <c r="F9" s="10" t="s">
        <v>79</v>
      </c>
      <c r="G9" s="10" t="s">
        <v>80</v>
      </c>
      <c r="H9" s="10" t="s">
        <v>81</v>
      </c>
      <c r="I9" s="10" t="s">
        <v>82</v>
      </c>
    </row>
    <row r="10" spans="1:9" x14ac:dyDescent="0.2">
      <c r="A10" s="38">
        <v>200000000</v>
      </c>
      <c r="B10" s="38">
        <f t="shared" ref="B10:B16" si="0">A10*$B$3</f>
        <v>10000000</v>
      </c>
      <c r="C10" s="39">
        <f t="shared" ref="C10:C16" si="1">B10*$B$4</f>
        <v>3710000</v>
      </c>
      <c r="D10" s="38">
        <f t="shared" ref="D10:D16" si="2">B10-C10</f>
        <v>6290000</v>
      </c>
      <c r="E10" s="39">
        <f t="shared" ref="E10:E16" si="3">MIN(B10,$B$6)*$B$7+MAX(B10-$B$6,0)*$B$4</f>
        <v>1330000</v>
      </c>
      <c r="F10" s="38">
        <f t="shared" ref="F10:F16" si="4">B10-E10</f>
        <v>8670000</v>
      </c>
      <c r="G10" s="39">
        <f t="shared" ref="G10:G16" si="5">B10*$B$5</f>
        <v>5265000</v>
      </c>
      <c r="H10" s="38">
        <f t="shared" ref="H10:H16" si="6">B10-G10</f>
        <v>4735000</v>
      </c>
      <c r="I10" s="53">
        <f t="shared" ref="I10:I16" si="7">H10-D10</f>
        <v>-1555000</v>
      </c>
    </row>
    <row r="11" spans="1:9" x14ac:dyDescent="0.2">
      <c r="A11" s="40">
        <v>300000000</v>
      </c>
      <c r="B11" s="40">
        <f t="shared" si="0"/>
        <v>15000000</v>
      </c>
      <c r="C11" s="41">
        <f t="shared" si="1"/>
        <v>5565000</v>
      </c>
      <c r="D11" s="40">
        <f t="shared" si="2"/>
        <v>9435000</v>
      </c>
      <c r="E11" s="41">
        <f t="shared" si="3"/>
        <v>1995000</v>
      </c>
      <c r="F11" s="40">
        <f t="shared" si="4"/>
        <v>13005000</v>
      </c>
      <c r="G11" s="41">
        <f t="shared" si="5"/>
        <v>7897499.9999999991</v>
      </c>
      <c r="H11" s="40">
        <f t="shared" si="6"/>
        <v>7102500.0000000009</v>
      </c>
      <c r="I11" s="54">
        <f t="shared" si="7"/>
        <v>-2332499.9999999991</v>
      </c>
    </row>
    <row r="12" spans="1:9" x14ac:dyDescent="0.2">
      <c r="A12" s="38">
        <v>400000000</v>
      </c>
      <c r="B12" s="38">
        <f t="shared" si="0"/>
        <v>20000000</v>
      </c>
      <c r="C12" s="39">
        <f t="shared" si="1"/>
        <v>7420000</v>
      </c>
      <c r="D12" s="38">
        <f t="shared" si="2"/>
        <v>12580000</v>
      </c>
      <c r="E12" s="39">
        <f t="shared" si="3"/>
        <v>3850000</v>
      </c>
      <c r="F12" s="38">
        <f t="shared" si="4"/>
        <v>16150000</v>
      </c>
      <c r="G12" s="39">
        <f t="shared" si="5"/>
        <v>10530000</v>
      </c>
      <c r="H12" s="38">
        <f t="shared" si="6"/>
        <v>9470000</v>
      </c>
      <c r="I12" s="53">
        <f t="shared" si="7"/>
        <v>-3110000</v>
      </c>
    </row>
    <row r="13" spans="1:9" x14ac:dyDescent="0.2">
      <c r="A13" s="45">
        <v>500000000</v>
      </c>
      <c r="B13" s="43">
        <f t="shared" si="0"/>
        <v>25000000</v>
      </c>
      <c r="C13" s="44">
        <f t="shared" si="1"/>
        <v>9275000</v>
      </c>
      <c r="D13" s="45">
        <f t="shared" si="2"/>
        <v>15725000</v>
      </c>
      <c r="E13" s="44">
        <f t="shared" si="3"/>
        <v>5705000</v>
      </c>
      <c r="F13" s="45">
        <f t="shared" si="4"/>
        <v>19295000</v>
      </c>
      <c r="G13" s="44">
        <f t="shared" si="5"/>
        <v>13162500</v>
      </c>
      <c r="H13" s="45">
        <f t="shared" si="6"/>
        <v>11837500</v>
      </c>
      <c r="I13" s="55">
        <f t="shared" si="7"/>
        <v>-3887500</v>
      </c>
    </row>
    <row r="14" spans="1:9" x14ac:dyDescent="0.2">
      <c r="A14" s="38">
        <v>600000000</v>
      </c>
      <c r="B14" s="38">
        <f t="shared" si="0"/>
        <v>30000000</v>
      </c>
      <c r="C14" s="39">
        <f t="shared" si="1"/>
        <v>11130000</v>
      </c>
      <c r="D14" s="38">
        <f t="shared" si="2"/>
        <v>18870000</v>
      </c>
      <c r="E14" s="39">
        <f t="shared" si="3"/>
        <v>7560000</v>
      </c>
      <c r="F14" s="38">
        <f t="shared" si="4"/>
        <v>22440000</v>
      </c>
      <c r="G14" s="39">
        <f t="shared" si="5"/>
        <v>15794999.999999998</v>
      </c>
      <c r="H14" s="38">
        <f t="shared" si="6"/>
        <v>14205000.000000002</v>
      </c>
      <c r="I14" s="53">
        <f t="shared" si="7"/>
        <v>-4664999.9999999981</v>
      </c>
    </row>
    <row r="15" spans="1:9" x14ac:dyDescent="0.2">
      <c r="A15" s="40">
        <v>700000000</v>
      </c>
      <c r="B15" s="40">
        <f t="shared" si="0"/>
        <v>35000000</v>
      </c>
      <c r="C15" s="41">
        <f t="shared" si="1"/>
        <v>12985000</v>
      </c>
      <c r="D15" s="40">
        <f t="shared" si="2"/>
        <v>22015000</v>
      </c>
      <c r="E15" s="41">
        <f t="shared" si="3"/>
        <v>9415000</v>
      </c>
      <c r="F15" s="40">
        <f t="shared" si="4"/>
        <v>25585000</v>
      </c>
      <c r="G15" s="41">
        <f t="shared" si="5"/>
        <v>18427500</v>
      </c>
      <c r="H15" s="40">
        <f t="shared" si="6"/>
        <v>16572500</v>
      </c>
      <c r="I15" s="54">
        <f t="shared" si="7"/>
        <v>-5442500</v>
      </c>
    </row>
    <row r="16" spans="1:9" x14ac:dyDescent="0.2">
      <c r="A16" s="38">
        <v>1500000000</v>
      </c>
      <c r="B16" s="38">
        <f t="shared" si="0"/>
        <v>75000000</v>
      </c>
      <c r="C16" s="39">
        <f t="shared" si="1"/>
        <v>27825000</v>
      </c>
      <c r="D16" s="38">
        <f t="shared" si="2"/>
        <v>47175000</v>
      </c>
      <c r="E16" s="39">
        <f t="shared" si="3"/>
        <v>24255000</v>
      </c>
      <c r="F16" s="38">
        <f t="shared" si="4"/>
        <v>50745000</v>
      </c>
      <c r="G16" s="39">
        <f t="shared" si="5"/>
        <v>39487500</v>
      </c>
      <c r="H16" s="38">
        <f t="shared" si="6"/>
        <v>35512500</v>
      </c>
      <c r="I16" s="53">
        <f t="shared" si="7"/>
        <v>-11662500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 Rate Breakdown</vt:lpstr>
      <vt:lpstr>View 1 — Net Payouts</vt:lpstr>
      <vt:lpstr>View 2 — Equivalency</vt:lpstr>
      <vt:lpstr>Exit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Trey Sisson</cp:lastModifiedBy>
  <cp:revision>0</cp:revision>
  <dcterms:created xsi:type="dcterms:W3CDTF">2026-03-08T04:00:23Z</dcterms:created>
  <dcterms:modified xsi:type="dcterms:W3CDTF">2026-03-13T02:07:18Z</dcterms:modified>
  <dc:language>en-US</dc:language>
</cp:coreProperties>
</file>